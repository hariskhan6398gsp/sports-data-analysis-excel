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ohd Haris\OneDrive\Desktop\Data\Data Science\Analytix-Lab\Project\EXCEL-projects\Excel - Sports data analysis(Completed)\Excel case study - 2\"/>
    </mc:Choice>
  </mc:AlternateContent>
  <xr:revisionPtr revIDLastSave="0" documentId="13_ncr:1_{0D605E75-ADA1-40FD-ACEF-E5E7746FE6DB}" xr6:coauthVersionLast="47" xr6:coauthVersionMax="47" xr10:uidLastSave="{00000000-0000-0000-0000-000000000000}"/>
  <workbookProtection lockStructure="1"/>
  <bookViews>
    <workbookView xWindow="-110" yWindow="-110" windowWidth="19420" windowHeight="10300" tabRatio="758" activeTab="4"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definedNames>
    <definedName name="_xlnm._FilterDatabase" localSheetId="3" hidden="1">ANALYSIS!$G$3:$G$14</definedName>
    <definedName name="_xlnm._FilterDatabase" localSheetId="5" hidden="1">SPORTSMEN!$A$1:$S$51</definedName>
  </definedName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7" l="1"/>
  <c r="I7" i="7"/>
  <c r="I8" i="7"/>
  <c r="I9" i="7"/>
  <c r="I10" i="7"/>
  <c r="I11" i="7"/>
  <c r="I12" i="7"/>
  <c r="I13" i="7"/>
  <c r="I14" i="7"/>
  <c r="I15" i="7"/>
  <c r="I5" i="7"/>
  <c r="H6" i="7"/>
  <c r="H7" i="7"/>
  <c r="H8" i="7"/>
  <c r="H9" i="7"/>
  <c r="H10" i="7"/>
  <c r="H11" i="7"/>
  <c r="H12" i="7"/>
  <c r="H13" i="7"/>
  <c r="H14" i="7"/>
  <c r="H15" i="7"/>
  <c r="H5" i="7"/>
  <c r="Q2" i="1"/>
  <c r="L2" i="1"/>
  <c r="M2" i="1" s="1"/>
  <c r="K2" i="1"/>
  <c r="B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3" i="1"/>
  <c r="K4" i="1"/>
  <c r="B3" i="1"/>
  <c r="B4" i="1"/>
  <c r="B5" i="1"/>
  <c r="B6" i="1"/>
  <c r="B7" i="1"/>
  <c r="B8" i="1"/>
  <c r="B9" i="1"/>
  <c r="B10" i="1"/>
  <c r="B11" i="1"/>
  <c r="B12" i="1"/>
  <c r="B13"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14" i="1"/>
</calcChain>
</file>

<file path=xl/sharedStrings.xml><?xml version="1.0" encoding="utf-8"?>
<sst xmlns="http://schemas.openxmlformats.org/spreadsheetml/2006/main" count="928" uniqueCount="426">
  <si>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</si>
  <si>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</si>
  <si>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</si>
  <si>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</si>
  <si>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</si>
  <si>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</si>
  <si>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</si>
  <si>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</si>
  <si>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</si>
  <si>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</si>
  <si>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</si>
  <si>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</si>
  <si>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</si>
  <si>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</si>
  <si>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</si>
  <si>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</si>
  <si>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</si>
  <si>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</si>
  <si>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</si>
  <si>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</si>
  <si>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</si>
  <si>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</si>
  <si>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</si>
  <si>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</si>
  <si>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</si>
  <si>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</si>
  <si>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</si>
  <si>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</si>
  <si>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</si>
  <si>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</si>
  <si>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</si>
  <si>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</si>
  <si>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</si>
  <si>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</si>
  <si>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</si>
  <si>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</si>
  <si>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</si>
  <si>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</si>
  <si>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</si>
  <si>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</si>
  <si>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</si>
  <si>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</si>
  <si>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</si>
  <si>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</si>
  <si>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</si>
  <si>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</si>
  <si>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</si>
  <si>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</si>
  <si>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</si>
  <si>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</si>
  <si>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</si>
  <si>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</si>
  <si>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</si>
  <si>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</si>
  <si>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</si>
  <si>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</si>
  <si>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</si>
  <si>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</si>
  <si>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</si>
  <si>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</si>
  <si>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</si>
  <si>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</si>
  <si>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</si>
  <si>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</si>
  <si>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</si>
  <si>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</si>
  <si>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</si>
  <si>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</si>
  <si>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</si>
  <si>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</si>
  <si>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</si>
  <si>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</si>
  <si>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</si>
  <si>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</si>
  <si>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</si>
  <si>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</si>
  <si>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</si>
  <si>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</si>
  <si>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</si>
  <si>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</si>
  <si>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</si>
  <si>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</si>
  <si>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</si>
  <si>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</si>
  <si>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</si>
  <si>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</si>
  <si>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</si>
  <si>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</si>
  <si>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</si>
  <si>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</si>
  <si>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</si>
  <si>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</si>
  <si>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</si>
  <si>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</si>
  <si>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</si>
  <si>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</si>
  <si>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</si>
  <si>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</si>
  <si>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</si>
  <si>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</si>
  <si>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</si>
  <si>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</si>
  <si>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</si>
  <si>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</si>
  <si>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</si>
  <si>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</si>
  <si>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</si>
  <si>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</si>
  <si>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</si>
  <si>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</si>
  <si>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</si>
  <si>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</si>
  <si>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</si>
  <si>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</si>
  <si>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</si>
  <si>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</si>
  <si>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</si>
  <si>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</si>
  <si>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</si>
  <si>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</si>
  <si>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</si>
  <si>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</si>
  <si>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</si>
  <si>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</si>
  <si>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</si>
  <si>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</si>
  <si>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</si>
  <si>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</si>
  <si>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</si>
  <si>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</si>
  <si>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</si>
  <si>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</si>
  <si>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</si>
  <si>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</si>
  <si>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</si>
  <si>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</si>
  <si>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</si>
  <si>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</si>
  <si>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</si>
  <si>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</si>
  <si>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</si>
  <si>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</si>
  <si>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</si>
  <si>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</si>
  <si>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</si>
  <si>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</si>
  <si>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</si>
  <si>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</si>
  <si>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</si>
  <si>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</si>
  <si>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</si>
  <si>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</si>
  <si>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</si>
  <si>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</si>
  <si>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</si>
  <si>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</si>
  <si>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</si>
  <si>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</si>
  <si>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</si>
  <si>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</si>
  <si>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</si>
  <si>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</si>
  <si>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</si>
  <si>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</si>
  <si>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</si>
  <si>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</si>
  <si>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</si>
  <si>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</si>
  <si>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</si>
  <si>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</si>
  <si>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</si>
  <si>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</si>
  <si>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</si>
  <si>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</si>
  <si>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</si>
  <si>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</si>
  <si>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</si>
  <si>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</si>
  <si>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</si>
  <si>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</si>
  <si>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</si>
  <si>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</si>
  <si>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</si>
  <si>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</si>
  <si>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</si>
  <si>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</si>
  <si>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</si>
  <si>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</si>
  <si>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</si>
  <si>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</si>
  <si>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</si>
  <si>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</si>
  <si>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</si>
  <si>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</si>
  <si>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</si>
  <si>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</si>
  <si>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</si>
  <si>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</si>
  <si>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</si>
  <si>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</si>
  <si>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</si>
  <si>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</si>
  <si>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</si>
  <si>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</si>
  <si>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</si>
  <si>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</si>
  <si>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</si>
  <si>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</si>
  <si>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</si>
  <si>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</si>
  <si>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</si>
  <si>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</si>
  <si>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</si>
  <si>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</si>
  <si>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</si>
  <si>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</si>
  <si>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</si>
  <si>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</si>
  <si>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</si>
  <si>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</si>
  <si>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</si>
  <si>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</si>
  <si>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</si>
  <si>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</si>
  <si>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</si>
  <si>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</si>
  <si>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</si>
  <si>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</si>
  <si>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</si>
  <si>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</si>
  <si>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</si>
  <si>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</si>
  <si>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</si>
  <si>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</si>
  <si>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</si>
  <si>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</si>
  <si>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</si>
  <si>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</si>
  <si>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</si>
  <si>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</si>
  <si>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</si>
  <si>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</si>
  <si>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</si>
  <si>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</si>
  <si>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</si>
  <si>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</si>
  <si>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</si>
  <si>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</si>
  <si>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</si>
  <si>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</si>
  <si>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</si>
  <si>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</si>
  <si>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</si>
  <si>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</si>
  <si>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</si>
  <si>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</si>
  <si>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</si>
  <si>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</si>
  <si>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</si>
  <si>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</si>
  <si>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</si>
  <si>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</si>
  <si>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</si>
  <si>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</si>
  <si>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</si>
  <si>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</si>
  <si>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</si>
  <si>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</si>
  <si>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</si>
  <si>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</si>
  <si>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</si>
  <si>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</si>
  <si>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</si>
  <si>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</si>
  <si>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</si>
  <si>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</si>
  <si>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</si>
  <si>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</si>
  <si>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</si>
  <si>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</si>
  <si>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</si>
  <si>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</si>
  <si>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</si>
  <si>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Column Labels</t>
  </si>
  <si>
    <t>Row Labels</t>
  </si>
  <si>
    <t>Count of MEMBER ID</t>
  </si>
  <si>
    <t>Pivot Table</t>
  </si>
  <si>
    <t>Countrys</t>
  </si>
  <si>
    <t>By Functions</t>
  </si>
  <si>
    <t>(All)</t>
  </si>
  <si>
    <t>MS.ANNIE  ABBOTT</t>
  </si>
  <si>
    <t>MS.AURELIE  LIESUCHKE</t>
  </si>
  <si>
    <t>SR.TOMAS FERREIRA FILHO</t>
  </si>
  <si>
    <t>MS.DARBY  CRUICKSHANK</t>
  </si>
  <si>
    <t>DR.JAYDON  BORER</t>
  </si>
  <si>
    <t>MR.MORIAH   LYNCH</t>
  </si>
  <si>
    <t>MS.AMIYA  EICHMANN</t>
  </si>
  <si>
    <t>MR.PIERCE  RAU</t>
  </si>
  <si>
    <t>MS.AMELIA  STEVENS</t>
  </si>
  <si>
    <t>MR.TOBY  SIMPSON</t>
  </si>
  <si>
    <t>SIRETHAN  MURPHY</t>
  </si>
  <si>
    <t>MRS.ASHLEY  WOOD</t>
  </si>
  <si>
    <t>MS.MEGAN  SCOTT</t>
  </si>
  <si>
    <t>HR.HELMUT  WEINHAE</t>
  </si>
  <si>
    <t>PROF.MILENA  SCHOTIN</t>
  </si>
  <si>
    <t>HR.LOTHAR  BIRNBAUM</t>
  </si>
  <si>
    <t>HR.PIETRO  STOLZE</t>
  </si>
  <si>
    <t>HR.RICHARD   TLUSTEK</t>
  </si>
  <si>
    <t>DR.EARNESTINE  RAYNOR</t>
  </si>
  <si>
    <t>MR.JASON  GAYLORD</t>
  </si>
  <si>
    <t>MR.KENDRICK  SAUER</t>
  </si>
  <si>
    <t>DR.ANNABELL  OLSON</t>
  </si>
  <si>
    <t>DR.JENA  UPTON</t>
  </si>
  <si>
    <t>DR.SHANNY  BINS</t>
  </si>
  <si>
    <t>DR.TIA  ABSHIRE</t>
  </si>
  <si>
    <t>MS.ISABEL  RUNOLFSDOTTIR</t>
  </si>
  <si>
    <t>HR.BARNEY  WESACK</t>
  </si>
  <si>
    <t>HR.BARUCH  KADE</t>
  </si>
  <si>
    <t>PROF.LIESBETH  ROSEMANN</t>
  </si>
  <si>
    <t>MME.VALENTINE  MOREAU</t>
  </si>
  <si>
    <t>MME.PAULETTE  DURAND</t>
  </si>
  <si>
    <t>MME.LAURE-ALIX  CHEVALIER</t>
  </si>
  <si>
    <t>M.CLAUDE  TOUSSAINT</t>
  </si>
  <si>
    <t>M.VICTOR  LENOIR</t>
  </si>
  <si>
    <t>M.ARTHUR  LENOIR</t>
  </si>
  <si>
    <t>M.BENJAMIN  LEBRUN-BRUN</t>
  </si>
  <si>
    <t>M.ANTOINE  MAILLARD</t>
  </si>
  <si>
    <t>M.BERNARD  HOARAU-GUYON</t>
  </si>
  <si>
    <t>SR.HIDALGO CANTU TERCERO</t>
  </si>
  <si>
    <t>SR.HADALGO  POLANCO</t>
  </si>
  <si>
    <t>SRA.LAURA  OLIVIERA</t>
  </si>
  <si>
    <t>SRA.AINHOA  GARZA</t>
  </si>
  <si>
    <t>SRA.ISABEL  BANDA</t>
  </si>
  <si>
    <t>SRA.CAROLOTA  MATEOS</t>
  </si>
  <si>
    <t>MW.ELIZE  PRINS</t>
  </si>
  <si>
    <t>DHR.RYAN  PHAM</t>
  </si>
  <si>
    <t>MWELISE  ROTTEVEEL</t>
  </si>
  <si>
    <t>FRU.MIRJAM  SODERBERG</t>
  </si>
  <si>
    <t>H.BERNDT  PALSSON</t>
  </si>
  <si>
    <t>SR.ADRIANO PONTES SOBRINHO</t>
  </si>
  <si>
    <t>abbott.annie@xyz.org</t>
  </si>
  <si>
    <t>liesuchke.aurelie@xyz.org</t>
  </si>
  <si>
    <t>filho.tomas@xyz.com</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</si>
  <si>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</si>
  <si>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</si>
  <si>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</si>
  <si>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</si>
  <si>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</si>
  <si>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</si>
  <si>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</si>
  <si>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</si>
  <si>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</si>
  <si>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</si>
  <si>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</si>
  <si>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</si>
  <si>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</si>
  <si>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</si>
  <si>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</si>
  <si>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</si>
  <si>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</si>
  <si>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</si>
  <si>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</si>
  <si>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</si>
  <si>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</si>
  <si>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</si>
  <si>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</si>
  <si>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</si>
  <si>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</si>
  <si>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</si>
  <si>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</si>
  <si>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</si>
  <si>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</si>
  <si>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</si>
  <si>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</si>
  <si>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</si>
  <si>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</si>
  <si>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</si>
  <si>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</si>
  <si>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</si>
  <si>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</si>
  <si>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</si>
  <si>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</si>
  <si>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</si>
  <si>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</si>
  <si>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</si>
  <si>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</si>
  <si>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</si>
  <si>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</si>
  <si>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</si>
  <si>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</si>
  <si>
    <t>1997</t>
  </si>
  <si>
    <t>1992</t>
  </si>
  <si>
    <t>1969</t>
  </si>
  <si>
    <t>1975</t>
  </si>
  <si>
    <t>1970</t>
  </si>
  <si>
    <t>1999</t>
  </si>
  <si>
    <t>1963</t>
  </si>
  <si>
    <t>1971</t>
  </si>
  <si>
    <t>1964</t>
  </si>
  <si>
    <t>1986</t>
  </si>
  <si>
    <t>1977</t>
  </si>
  <si>
    <t>1959</t>
  </si>
  <si>
    <t>1965</t>
  </si>
  <si>
    <t>1972</t>
  </si>
  <si>
    <t>1976</t>
  </si>
  <si>
    <t>1996</t>
  </si>
  <si>
    <t>1955</t>
  </si>
  <si>
    <t>1966</t>
  </si>
  <si>
    <t>1978</t>
  </si>
  <si>
    <t>1982</t>
  </si>
  <si>
    <t>1994</t>
  </si>
  <si>
    <t>1979</t>
  </si>
  <si>
    <t>1989</t>
  </si>
  <si>
    <t>1980</t>
  </si>
  <si>
    <t>1981</t>
  </si>
  <si>
    <t>1983</t>
  </si>
  <si>
    <t>1984</t>
  </si>
  <si>
    <t>1988</t>
  </si>
  <si>
    <t>1974</t>
  </si>
  <si>
    <t>1990</t>
  </si>
  <si>
    <t>1960</t>
  </si>
  <si>
    <t>1973</t>
  </si>
  <si>
    <t>1968</t>
  </si>
  <si>
    <t>1987</t>
  </si>
  <si>
    <t>1993</t>
  </si>
  <si>
    <t>Years (BIRTHDATE)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</si>
</sst>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
    <numFmt numFmtId="166" formatCode="dd/mmm\'/yyyy"/>
    <numFmt numFmtId="167" formatCode="00&quot;kg&quot;"/>
    <numFmt numFmtId="168" formatCode="[&lt;100000]0.0,&quot;k&quot;;[&gt;=100000]0,&quot;k&quot;"/>
    <numFmt numFmtId="169" formatCode="[&lt;100000]0.000,&quot;k&quot;;0.0,&quot;k&quot;"/>
  </numFmts>
  <fonts count="17"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b/>
      <sz val="11"/>
      <color theme="1"/>
      <name val="Calibri"/>
      <family val="2"/>
      <scheme val="minor"/>
    </font>
    <font>
      <sz val="18"/>
      <color theme="1"/>
      <name val="Calibri"/>
      <family val="2"/>
      <scheme val="minor"/>
    </font>
    <font>
      <b/>
      <sz val="14"/>
      <color theme="1"/>
      <name val="Calibri"/>
      <family val="2"/>
      <scheme val="minor"/>
    </font>
    <font>
      <sz val="14"/>
      <color theme="1"/>
      <name val="Calibri"/>
      <family val="2"/>
      <scheme val="minor"/>
    </font>
    <font>
      <sz val="12"/>
      <color theme="1" tint="4.9989318521683403E-2"/>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4" tint="-0.249977111117893"/>
        <bgColor indexed="64"/>
      </patternFill>
    </fill>
    <fill>
      <patternFill patternType="solid">
        <fgColor theme="4"/>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59">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xf numFmtId="0" fontId="0" fillId="0" borderId="0" xfId="0" pivotButton="1"/>
    <xf numFmtId="169" fontId="0" fillId="0" borderId="1" xfId="0" applyNumberFormat="1" applyBorder="1"/>
    <xf numFmtId="0" fontId="1" fillId="8" borderId="0" xfId="0" applyFont="1" applyFill="1" applyAlignment="1">
      <alignment horizontal="center"/>
    </xf>
    <xf numFmtId="0" fontId="0" fillId="8" borderId="0" xfId="0" applyFill="1"/>
    <xf numFmtId="0" fontId="12" fillId="2" borderId="0" xfId="0" applyFont="1" applyFill="1" applyAlignment="1">
      <alignment horizontal="center"/>
    </xf>
    <xf numFmtId="0" fontId="12" fillId="2" borderId="0" xfId="0" applyFont="1" applyFill="1"/>
    <xf numFmtId="0" fontId="0" fillId="7" borderId="0" xfId="0" applyFill="1" applyAlignment="1">
      <alignment horizontal="left"/>
    </xf>
    <xf numFmtId="0" fontId="14" fillId="9" borderId="0" xfId="0" applyFont="1" applyFill="1" applyAlignment="1">
      <alignment horizontal="center"/>
    </xf>
    <xf numFmtId="0" fontId="13" fillId="9" borderId="0" xfId="0" applyFont="1" applyFill="1" applyAlignment="1">
      <alignment horizontal="center"/>
    </xf>
    <xf numFmtId="0" fontId="15" fillId="0" borderId="0" xfId="0" pivotButton="1" applyFont="1" applyAlignment="1">
      <alignment horizontal="center"/>
    </xf>
    <xf numFmtId="0" fontId="16" fillId="10" borderId="0" xfId="0" applyFont="1" applyFill="1" applyAlignment="1">
      <alignment horizontal="center"/>
    </xf>
    <xf numFmtId="165" fontId="0" fillId="0" borderId="0" xfId="0" applyNumberFormat="1" applyAlignment="1">
      <alignment horizontal="center"/>
    </xf>
    <xf numFmtId="0" fontId="0" fillId="0" borderId="0" xfId="0" applyAlignment="1">
      <alignment horizontal="center"/>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0" fontId="3" fillId="6" borderId="0" xfId="0" applyFont="1" applyFill="1" applyAlignment="1">
      <alignment horizontal="left"/>
    </xf>
    <xf numFmtId="0" fontId="3" fillId="6" borderId="14" xfId="0" applyFont="1" applyFill="1" applyBorder="1" applyAlignment="1">
      <alignment horizontal="left"/>
    </xf>
  </cellXfs>
  <cellStyles count="1">
    <cellStyle name="Normal" xfId="0" builtinId="0"/>
  </cellStyles>
  <dxfs count="4005">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2" tint="-0.499984740745262"/>
        </patternFill>
      </fill>
    </dxf>
    <dxf>
      <fill>
        <patternFill>
          <bgColor theme="4"/>
        </patternFill>
      </fill>
    </dxf>
    <dxf>
      <font>
        <color theme="1" tint="4.9989318521683403E-2"/>
      </font>
    </dxf>
    <dxf>
      <alignment horizontal="center"/>
    </dxf>
    <dxf>
      <alignment horizontal="center"/>
    </dxf>
    <dxf>
      <font>
        <sz val="14"/>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2"/>
      </font>
    </dxf>
    <dxf>
      <font>
        <sz val="14"/>
      </font>
    </dxf>
    <dxf>
      <alignment horizontal="center"/>
    </dxf>
    <dxf>
      <alignment horizontal="center"/>
    </dxf>
    <dxf>
      <font>
        <color theme="1" tint="4.9989318521683403E-2"/>
      </font>
    </dxf>
    <dxf>
      <fill>
        <patternFill>
          <bgColor theme="4"/>
        </patternFill>
      </fill>
    </dxf>
    <dxf>
      <fill>
        <patternFill patternType="solid">
          <bgColor theme="2"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Haris" refreshedDate="46138.653221759261" createdVersion="8" refreshedVersion="8" minRefreshableVersion="3" recordCount="50" xr:uid="{4F6073AD-74AF-4DAD-A977-99F3997D945D}">
  <cacheSource type="worksheet">
    <worksheetSource ref="A1:S51" sheet="SPORTSMEN"/>
  </cacheSource>
  <cacheFields count="22">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ANNIE  ABBOTT"/>
        <s v="MS.AURELIE  LIESUCHKE"/>
        <s v="SR.TOMAS FERREIRA FILHO"/>
        <s v="MS.DARBY  CRUICKSHANK"/>
        <s v="DR.JAYDON  BORER"/>
        <s v="MR.MORIAH   LYNCH"/>
        <s v="MS.AMIYA  EICHMANN"/>
        <s v="MR.PIERCE  RAU"/>
        <s v="MS.AMELIA  STEVENS"/>
        <s v="MR.TOBY  SIMPSON"/>
        <s v="SIRETHAN  MURPHY"/>
        <s v="MRS.ASHLEY  WOOD"/>
        <s v="MS.MEGAN  SCOTT"/>
        <s v="HR.HELMUT  WEINHAE"/>
        <s v="PROF.MILENA  SCHOTIN"/>
        <s v="HR.LOTHAR  BIRNBAUM"/>
        <s v="HR.PIETRO  STOLZE"/>
        <s v="HR.RICHARD   TLUSTEK"/>
        <s v="DR.EARNESTINE  RAYNOR"/>
        <s v="MR.JASON  GAYLORD"/>
        <s v="MR.KENDRICK  SAUER"/>
        <s v="DR.ANNABELL  OLSON"/>
        <s v="DR.JENA  UPTON"/>
        <s v="DR.SHANNY  BINS"/>
        <s v="DR.TIA  ABSHIRE"/>
        <s v="MS.ISABEL  RUNOLFSDOTTIR"/>
        <s v="HR.BARNEY  WESACK"/>
        <s v="HR.BARUCH  KADE"/>
        <s v="PROF.LIESBETH  ROSEMANN"/>
        <s v="MME.VALENTINE  MOREAU"/>
        <s v="MME.PAULETTE  DURAND"/>
        <s v="MME.LAURE-ALIX  CHEVALIER"/>
        <s v="M.CLAUDE  TOUSSAINT"/>
        <s v="M.VICTOR  LENOIR"/>
        <s v="M.ARTHUR  LENOIR"/>
        <s v="M.BENJAMIN  LEBRUN-BRUN"/>
        <s v="M.ANTOINE  MAILLARD"/>
        <s v="M.BERNARD  HOARAU-GUYON"/>
        <s v="SR.HIDALGO CANTU TERCERO"/>
        <s v="SR.HADALGO  POLANCO"/>
        <s v="SRA.LAURA  OLIVIERA"/>
        <s v="SRA.AINHOA  GARZA"/>
        <s v="SRA.ISABEL  BANDA"/>
        <s v="SRA.CAROLOTA  MATEOS"/>
        <s v="MW.ELIZE  PRINS"/>
        <s v="DHR.RYAN  PHAM"/>
        <s v="MWELISE  ROTTEVEEL"/>
        <s v="FRU.MIRJAM  SODERBERG"/>
        <s v="H.BERNDT  PALSSON"/>
        <s v="SR.ADRIANO PONTES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66">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1"/>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8">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7/30/1955"/>
          <s v="Jan"/>
          <s v="Feb"/>
          <s v="Mar"/>
          <s v="Apr"/>
          <s v="May"/>
          <s v="Jun"/>
          <s v="Jul"/>
          <s v="Aug"/>
          <s v="Sep"/>
          <s v="Oct"/>
          <s v="Nov"/>
          <s v="Dec"/>
          <s v="&gt;8/29/1999"/>
        </groupItems>
      </fieldGroup>
    </cacheField>
    <cacheField name="Quarters (BIRTHDATE)" numFmtId="0" databaseField="0">
      <fieldGroup base="6">
        <rangePr groupBy="quarters" startDate="1955-07-30T00:00:00" endDate="1999-08-29T00:00:00"/>
        <groupItems count="6">
          <s v="&lt;7/30/1955"/>
          <s v="Qtr1"/>
          <s v="Qtr2"/>
          <s v="Qtr3"/>
          <s v="Qtr4"/>
          <s v="&gt;8/29/1999"/>
        </groupItems>
      </fieldGroup>
    </cacheField>
    <cacheField name="Years (BIRTHDATE)" numFmtId="0" databaseField="0">
      <fieldGroup base="6">
        <rangePr groupBy="years" startDate="1955-07-30T00:00:00" endDate="1999-08-29T00:00:00"/>
        <groupItems count="47">
          <s v="&lt;7/30/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8/29/199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x v="0"/>
    <s v="Libra"/>
    <x v="0"/>
    <s v="US"/>
    <x v="0"/>
    <x v="0"/>
    <x v="0"/>
    <n v="94"/>
    <s v="Green"/>
    <s v="A−"/>
    <x v="0"/>
    <x v="0"/>
    <n v="80727"/>
  </r>
  <r>
    <x v="1"/>
    <x v="1"/>
    <s v="Ms."/>
    <s v="Aurelie"/>
    <m/>
    <s v="Liesuchke"/>
    <x v="1"/>
    <s v="Aquarius"/>
    <x v="0"/>
    <s v="US"/>
    <x v="0"/>
    <x v="0"/>
    <x v="1"/>
    <n v="84.2"/>
    <s v="Brown"/>
    <s v="O−"/>
    <x v="0"/>
    <x v="1"/>
    <n v="87471"/>
  </r>
  <r>
    <x v="2"/>
    <x v="2"/>
    <s v="Sr."/>
    <s v="Tomas"/>
    <s v="Ferreira"/>
    <s v="Filho"/>
    <x v="2"/>
    <s v="Cancer"/>
    <x v="1"/>
    <s v="BR"/>
    <x v="1"/>
    <x v="1"/>
    <x v="2"/>
    <n v="52.9"/>
    <s v="Amber"/>
    <s v="A−"/>
    <x v="1"/>
    <x v="2"/>
    <n v="64724"/>
  </r>
  <r>
    <x v="3"/>
    <x v="3"/>
    <s v="Ms."/>
    <s v="Darby"/>
    <m/>
    <s v="Cruickshank"/>
    <x v="3"/>
    <s v="Taurus"/>
    <x v="0"/>
    <s v="US"/>
    <x v="0"/>
    <x v="0"/>
    <x v="3"/>
    <n v="48.9"/>
    <s v="Green"/>
    <s v="O−"/>
    <x v="1"/>
    <x v="3"/>
    <n v="110823"/>
  </r>
  <r>
    <x v="4"/>
    <x v="4"/>
    <s v="Dr."/>
    <s v="Jaydon"/>
    <m/>
    <s v="Borer"/>
    <x v="4"/>
    <s v="Taurus"/>
    <x v="1"/>
    <s v="US"/>
    <x v="0"/>
    <x v="0"/>
    <x v="4"/>
    <n v="84.8"/>
    <s v="Blue"/>
    <s v="B−"/>
    <x v="0"/>
    <x v="4"/>
    <n v="56916"/>
  </r>
  <r>
    <x v="5"/>
    <x v="5"/>
    <s v="Mr."/>
    <s v="Moriah "/>
    <m/>
    <s v="Lynch"/>
    <x v="5"/>
    <s v="Sagittarius"/>
    <x v="1"/>
    <s v="US"/>
    <x v="0"/>
    <x v="0"/>
    <x v="5"/>
    <n v="83.2"/>
    <s v="Blue"/>
    <s v="O−"/>
    <x v="0"/>
    <x v="5"/>
    <n v="51133"/>
  </r>
  <r>
    <x v="6"/>
    <x v="6"/>
    <s v="Ms."/>
    <s v="Amiya"/>
    <m/>
    <s v="Eichmann"/>
    <x v="6"/>
    <s v="Leo"/>
    <x v="0"/>
    <s v="US"/>
    <x v="0"/>
    <x v="0"/>
    <x v="6"/>
    <n v="61.1"/>
    <s v="Blue"/>
    <s v="B−"/>
    <x v="1"/>
    <x v="6"/>
    <n v="65465"/>
  </r>
  <r>
    <x v="7"/>
    <x v="7"/>
    <s v="Mr."/>
    <s v="Pierce"/>
    <m/>
    <s v="Rau"/>
    <x v="7"/>
    <s v="Taurus"/>
    <x v="1"/>
    <s v="US"/>
    <x v="0"/>
    <x v="0"/>
    <x v="7"/>
    <n v="105.7"/>
    <s v="Amber"/>
    <s v="A+"/>
    <x v="0"/>
    <x v="7"/>
    <n v="109885"/>
  </r>
  <r>
    <x v="8"/>
    <x v="8"/>
    <s v="Ms."/>
    <s v="Amelia"/>
    <m/>
    <s v="Stevens"/>
    <x v="8"/>
    <s v="Aquarius"/>
    <x v="0"/>
    <s v="GB"/>
    <x v="2"/>
    <x v="0"/>
    <x v="8"/>
    <n v="65.3"/>
    <s v="Blue"/>
    <s v="A+"/>
    <x v="0"/>
    <x v="8"/>
    <n v="60061"/>
  </r>
  <r>
    <x v="9"/>
    <x v="9"/>
    <s v="Mr."/>
    <s v="Toby"/>
    <m/>
    <s v="Simpson"/>
    <x v="9"/>
    <s v="Sagittarius"/>
    <x v="1"/>
    <s v="GB"/>
    <x v="2"/>
    <x v="0"/>
    <x v="9"/>
    <n v="62.9"/>
    <s v="Amber"/>
    <s v="O+"/>
    <x v="1"/>
    <x v="6"/>
    <n v="32758"/>
  </r>
  <r>
    <x v="10"/>
    <x v="10"/>
    <s v="Sir"/>
    <s v="Ethan"/>
    <m/>
    <s v="Murphy"/>
    <x v="10"/>
    <s v="Scorpio"/>
    <x v="1"/>
    <s v="GB"/>
    <x v="2"/>
    <x v="0"/>
    <x v="10"/>
    <n v="104.3"/>
    <s v="Brown"/>
    <s v="O+"/>
    <x v="1"/>
    <x v="9"/>
    <n v="99613"/>
  </r>
  <r>
    <x v="11"/>
    <x v="11"/>
    <s v="Mrs."/>
    <s v="Ashley"/>
    <m/>
    <s v="Wood"/>
    <x v="11"/>
    <s v="Libra"/>
    <x v="0"/>
    <s v="GB"/>
    <x v="2"/>
    <x v="0"/>
    <x v="11"/>
    <n v="100.7"/>
    <s v="Brown"/>
    <s v="O+"/>
    <x v="1"/>
    <x v="10"/>
    <n v="56595"/>
  </r>
  <r>
    <x v="12"/>
    <x v="12"/>
    <s v="Ms."/>
    <s v="Megan"/>
    <m/>
    <s v="Scott"/>
    <x v="12"/>
    <s v="Aquarius"/>
    <x v="0"/>
    <s v="GB"/>
    <x v="2"/>
    <x v="0"/>
    <x v="12"/>
    <n v="70.900000000000006"/>
    <s v="Green"/>
    <s v="A−"/>
    <x v="1"/>
    <x v="11"/>
    <n v="117408"/>
  </r>
  <r>
    <x v="13"/>
    <x v="13"/>
    <s v="Hr."/>
    <s v="Helmut"/>
    <m/>
    <s v="Weinhae"/>
    <x v="13"/>
    <s v="Virgo"/>
    <x v="1"/>
    <s v="DE"/>
    <x v="3"/>
    <x v="2"/>
    <x v="13"/>
    <n v="68.3"/>
    <s v="Gray"/>
    <s v="A+"/>
    <x v="1"/>
    <x v="12"/>
    <n v="64862"/>
  </r>
  <r>
    <x v="14"/>
    <x v="14"/>
    <s v="Prof."/>
    <s v="Milena"/>
    <m/>
    <s v="Schotin"/>
    <x v="14"/>
    <s v="Pisces"/>
    <x v="0"/>
    <s v="DE"/>
    <x v="3"/>
    <x v="2"/>
    <x v="14"/>
    <n v="105.3"/>
    <s v="Gray"/>
    <s v="O+"/>
    <x v="0"/>
    <x v="13"/>
    <n v="10241"/>
  </r>
  <r>
    <x v="15"/>
    <x v="15"/>
    <s v="Hr."/>
    <s v="Lothar"/>
    <m/>
    <s v="Birnbaum"/>
    <x v="15"/>
    <s v="Cancer"/>
    <x v="1"/>
    <s v="DE"/>
    <x v="3"/>
    <x v="2"/>
    <x v="15"/>
    <n v="48.6"/>
    <s v="Blue"/>
    <s v="O+"/>
    <x v="1"/>
    <x v="3"/>
    <n v="88762"/>
  </r>
  <r>
    <x v="16"/>
    <x v="16"/>
    <s v="Hr."/>
    <s v="Pietro"/>
    <m/>
    <s v="Stolze"/>
    <x v="16"/>
    <s v="Libra"/>
    <x v="1"/>
    <s v="DE"/>
    <x v="3"/>
    <x v="2"/>
    <x v="16"/>
    <n v="105.9"/>
    <s v="Blue"/>
    <s v="A−"/>
    <x v="0"/>
    <x v="14"/>
    <n v="80757"/>
  </r>
  <r>
    <x v="17"/>
    <x v="17"/>
    <s v="Hr."/>
    <s v="Richard "/>
    <m/>
    <s v="Tlustek"/>
    <x v="17"/>
    <s v="Virgo"/>
    <x v="1"/>
    <s v="DE"/>
    <x v="3"/>
    <x v="2"/>
    <x v="17"/>
    <n v="71.099999999999994"/>
    <s v="Blue"/>
    <s v="A−"/>
    <x v="1"/>
    <x v="15"/>
    <n v="88794"/>
  </r>
  <r>
    <x v="18"/>
    <x v="18"/>
    <s v="Dr."/>
    <s v="Earnestine"/>
    <m/>
    <s v="Raynor"/>
    <x v="18"/>
    <s v="Taurus"/>
    <x v="0"/>
    <s v="OZ"/>
    <x v="4"/>
    <x v="0"/>
    <x v="18"/>
    <n v="70.3"/>
    <s v="Blue"/>
    <s v="A+"/>
    <x v="0"/>
    <x v="16"/>
    <n v="63526"/>
  </r>
  <r>
    <x v="19"/>
    <x v="19"/>
    <s v="Mr."/>
    <s v="Jason"/>
    <m/>
    <s v="Gaylord"/>
    <x v="19"/>
    <s v="Capricorn"/>
    <x v="1"/>
    <s v="OZ"/>
    <x v="4"/>
    <x v="0"/>
    <x v="19"/>
    <n v="54.7"/>
    <s v="Brown"/>
    <s v="O−"/>
    <x v="0"/>
    <x v="17"/>
    <n v="46352"/>
  </r>
  <r>
    <x v="20"/>
    <x v="20"/>
    <s v="Mr."/>
    <s v="Kendrick"/>
    <m/>
    <s v="Sauer"/>
    <x v="20"/>
    <s v="Cancer"/>
    <x v="1"/>
    <s v="OZ"/>
    <x v="4"/>
    <x v="0"/>
    <x v="20"/>
    <n v="100.9"/>
    <s v="Blue"/>
    <s v="B−"/>
    <x v="1"/>
    <x v="18"/>
    <n v="106808"/>
  </r>
  <r>
    <x v="21"/>
    <x v="21"/>
    <s v="Dr."/>
    <s v="Annabell"/>
    <m/>
    <s v="Olson"/>
    <x v="21"/>
    <s v="Aries"/>
    <x v="0"/>
    <s v="OZ"/>
    <x v="4"/>
    <x v="0"/>
    <x v="21"/>
    <n v="84.3"/>
    <s v="Green"/>
    <s v="A+"/>
    <x v="1"/>
    <x v="19"/>
    <n v="96468"/>
  </r>
  <r>
    <x v="22"/>
    <x v="22"/>
    <s v="Dr."/>
    <s v="Jena"/>
    <m/>
    <s v="Upton"/>
    <x v="22"/>
    <s v="Sagittarius"/>
    <x v="0"/>
    <s v="OZ"/>
    <x v="4"/>
    <x v="0"/>
    <x v="22"/>
    <n v="66.8"/>
    <s v="Blue"/>
    <s v="O+"/>
    <x v="1"/>
    <x v="20"/>
    <n v="16526"/>
  </r>
  <r>
    <x v="23"/>
    <x v="23"/>
    <s v="Dr."/>
    <s v="Shanny"/>
    <m/>
    <s v="Bins"/>
    <x v="23"/>
    <s v="Virgo"/>
    <x v="0"/>
    <s v="OZ"/>
    <x v="4"/>
    <x v="0"/>
    <x v="23"/>
    <n v="59.4"/>
    <s v="Amber"/>
    <s v="B−"/>
    <x v="1"/>
    <x v="21"/>
    <n v="21891"/>
  </r>
  <r>
    <x v="24"/>
    <x v="24"/>
    <s v="Dr."/>
    <s v="Tia"/>
    <m/>
    <s v="Abshire"/>
    <x v="24"/>
    <s v="Cancer"/>
    <x v="0"/>
    <s v="OZ"/>
    <x v="4"/>
    <x v="0"/>
    <x v="24"/>
    <n v="77.8"/>
    <s v="Amber"/>
    <s v="A+"/>
    <x v="1"/>
    <x v="6"/>
    <n v="62037"/>
  </r>
  <r>
    <x v="25"/>
    <x v="25"/>
    <s v="Ms."/>
    <s v="Isabel"/>
    <m/>
    <s v="Runolfsdottir"/>
    <x v="25"/>
    <s v="Aries"/>
    <x v="0"/>
    <s v="OZ"/>
    <x v="4"/>
    <x v="0"/>
    <x v="25"/>
    <n v="85.9"/>
    <s v="Blue"/>
    <s v="B+"/>
    <x v="0"/>
    <x v="0"/>
    <n v="89737"/>
  </r>
  <r>
    <x v="26"/>
    <x v="26"/>
    <s v="Hr."/>
    <s v="Barney"/>
    <m/>
    <s v="Wesack"/>
    <x v="26"/>
    <s v="Cancer"/>
    <x v="1"/>
    <s v="AU"/>
    <x v="5"/>
    <x v="2"/>
    <x v="26"/>
    <n v="93.4"/>
    <s v="Amber"/>
    <s v="B+"/>
    <x v="0"/>
    <x v="22"/>
    <n v="41039"/>
  </r>
  <r>
    <x v="27"/>
    <x v="27"/>
    <s v="Hr."/>
    <s v="Baruch"/>
    <m/>
    <s v="Kade"/>
    <x v="27"/>
    <s v="Pisces"/>
    <x v="1"/>
    <s v="AU"/>
    <x v="5"/>
    <x v="2"/>
    <x v="27"/>
    <n v="95.5"/>
    <s v="Gray"/>
    <s v="O−"/>
    <x v="1"/>
    <x v="11"/>
    <n v="28458"/>
  </r>
  <r>
    <x v="28"/>
    <x v="28"/>
    <s v="Prof."/>
    <s v="Liesbeth"/>
    <m/>
    <s v="Rosemann"/>
    <x v="28"/>
    <s v="Aquarius"/>
    <x v="0"/>
    <s v="AU"/>
    <x v="5"/>
    <x v="2"/>
    <x v="28"/>
    <n v="52.2"/>
    <s v="Blue"/>
    <s v="O+"/>
    <x v="1"/>
    <x v="6"/>
    <n v="55007"/>
  </r>
  <r>
    <x v="29"/>
    <x v="29"/>
    <s v="Mme."/>
    <s v="Valentine"/>
    <m/>
    <s v="Moreau"/>
    <x v="29"/>
    <s v="Libra"/>
    <x v="0"/>
    <s v="FR"/>
    <x v="6"/>
    <x v="3"/>
    <x v="29"/>
    <n v="74.599999999999994"/>
    <s v="Blue"/>
    <s v="B+"/>
    <x v="1"/>
    <x v="23"/>
    <n v="69041"/>
  </r>
  <r>
    <x v="30"/>
    <x v="30"/>
    <s v="Mme."/>
    <s v="Paulette"/>
    <m/>
    <s v="Durand"/>
    <x v="30"/>
    <s v="Capricorn"/>
    <x v="0"/>
    <s v="FR"/>
    <x v="6"/>
    <x v="3"/>
    <x v="30"/>
    <n v="81.7"/>
    <s v="Amber"/>
    <s v="O−"/>
    <x v="0"/>
    <x v="22"/>
    <n v="86262"/>
  </r>
  <r>
    <x v="31"/>
    <x v="31"/>
    <s v="Mme."/>
    <s v="Laure-Alix"/>
    <m/>
    <s v="Chevalier"/>
    <x v="31"/>
    <s v="Capricorn"/>
    <x v="0"/>
    <s v="FR"/>
    <x v="6"/>
    <x v="3"/>
    <x v="31"/>
    <n v="78.099999999999994"/>
    <s v="Blue"/>
    <s v="O+"/>
    <x v="1"/>
    <x v="20"/>
    <n v="19234"/>
  </r>
  <r>
    <x v="32"/>
    <x v="32"/>
    <s v="M."/>
    <s v="Claude"/>
    <m/>
    <s v="Toussaint"/>
    <x v="32"/>
    <s v="Scorpio"/>
    <x v="1"/>
    <s v="FR"/>
    <x v="6"/>
    <x v="3"/>
    <x v="32"/>
    <n v="57.1"/>
    <s v="Green"/>
    <s v="O+"/>
    <x v="0"/>
    <x v="24"/>
    <n v="95123"/>
  </r>
  <r>
    <x v="33"/>
    <x v="33"/>
    <s v="M."/>
    <s v="Victor"/>
    <m/>
    <s v="Lenoir"/>
    <x v="33"/>
    <s v="Libra"/>
    <x v="1"/>
    <s v="FR"/>
    <x v="6"/>
    <x v="3"/>
    <x v="33"/>
    <n v="56"/>
    <s v="Blue"/>
    <s v="B+"/>
    <x v="1"/>
    <x v="18"/>
    <n v="62761"/>
  </r>
  <r>
    <x v="34"/>
    <x v="34"/>
    <s v="M."/>
    <s v="Arthur"/>
    <m/>
    <s v="Lenoir"/>
    <x v="34"/>
    <s v="Leo"/>
    <x v="1"/>
    <s v="FR"/>
    <x v="6"/>
    <x v="3"/>
    <x v="34"/>
    <n v="88.6"/>
    <s v="Amber"/>
    <s v="O+"/>
    <x v="1"/>
    <x v="25"/>
    <n v="108431"/>
  </r>
  <r>
    <x v="35"/>
    <x v="35"/>
    <s v="M."/>
    <s v="Benjamin"/>
    <m/>
    <s v="Lebrun-Brun"/>
    <x v="35"/>
    <s v="Aquarius"/>
    <x v="1"/>
    <s v="FR"/>
    <x v="6"/>
    <x v="3"/>
    <x v="35"/>
    <n v="78.2"/>
    <s v="Brown"/>
    <s v="O−"/>
    <x v="1"/>
    <x v="18"/>
    <n v="66268"/>
  </r>
  <r>
    <x v="36"/>
    <x v="36"/>
    <s v="M."/>
    <s v="Antoine"/>
    <m/>
    <s v="Maillard"/>
    <x v="36"/>
    <s v="Cancer"/>
    <x v="1"/>
    <s v="FR"/>
    <x v="6"/>
    <x v="3"/>
    <x v="36"/>
    <n v="95.8"/>
    <s v="Blue"/>
    <s v="B−"/>
    <x v="1"/>
    <x v="26"/>
    <n v="33970"/>
  </r>
  <r>
    <x v="37"/>
    <x v="37"/>
    <s v="M."/>
    <s v="Bernard"/>
    <m/>
    <s v="Hoarau-Guyon"/>
    <x v="37"/>
    <s v="Capricorn"/>
    <x v="1"/>
    <s v="FR"/>
    <x v="6"/>
    <x v="3"/>
    <x v="37"/>
    <n v="59.7"/>
    <s v="Gray"/>
    <s v="O−"/>
    <x v="0"/>
    <x v="0"/>
    <n v="71352"/>
  </r>
  <r>
    <x v="38"/>
    <x v="38"/>
    <s v="Sr."/>
    <s v="Hidalgo"/>
    <s v="Cantu"/>
    <s v="Tercero"/>
    <x v="38"/>
    <s v="Sagittarius"/>
    <x v="1"/>
    <s v="AG"/>
    <x v="7"/>
    <x v="4"/>
    <x v="38"/>
    <n v="77.7"/>
    <s v="Gray"/>
    <s v="B−"/>
    <x v="1"/>
    <x v="21"/>
    <n v="116376"/>
  </r>
  <r>
    <x v="39"/>
    <x v="39"/>
    <s v="Sr."/>
    <s v="Hadalgo"/>
    <m/>
    <s v="Polanco"/>
    <x v="39"/>
    <s v="Gemini"/>
    <x v="1"/>
    <s v="AG"/>
    <x v="7"/>
    <x v="4"/>
    <x v="39"/>
    <n v="98"/>
    <s v="Blue"/>
    <s v="A−"/>
    <x v="1"/>
    <x v="20"/>
    <n v="114144"/>
  </r>
  <r>
    <x v="40"/>
    <x v="40"/>
    <s v="Sra."/>
    <s v="Laura"/>
    <m/>
    <s v="Oliviera"/>
    <x v="40"/>
    <s v="Aquarius"/>
    <x v="0"/>
    <s v="AG"/>
    <x v="7"/>
    <x v="4"/>
    <x v="40"/>
    <n v="51.9"/>
    <s v="Amber"/>
    <s v="O−"/>
    <x v="1"/>
    <x v="27"/>
    <n v="79872"/>
  </r>
  <r>
    <x v="41"/>
    <x v="41"/>
    <s v="Sra."/>
    <s v="Ainhoa"/>
    <m/>
    <s v="Garza"/>
    <x v="41"/>
    <s v="Pisces"/>
    <x v="0"/>
    <s v="ES"/>
    <x v="8"/>
    <x v="4"/>
    <x v="41"/>
    <n v="55.6"/>
    <s v="Brown"/>
    <s v="O+"/>
    <x v="0"/>
    <x v="28"/>
    <n v="101969"/>
  </r>
  <r>
    <x v="42"/>
    <x v="42"/>
    <s v="Sra."/>
    <s v="Isabel"/>
    <m/>
    <s v="Banda"/>
    <x v="42"/>
    <s v="Capricorn"/>
    <x v="0"/>
    <s v="ES"/>
    <x v="8"/>
    <x v="4"/>
    <x v="42"/>
    <n v="102.3"/>
    <s v="Amber"/>
    <s v="O+"/>
    <x v="1"/>
    <x v="21"/>
    <n v="50659"/>
  </r>
  <r>
    <x v="43"/>
    <x v="43"/>
    <s v="Sra."/>
    <s v="Carolota"/>
    <m/>
    <s v="Mateos"/>
    <x v="43"/>
    <s v="Leo"/>
    <x v="0"/>
    <s v="ES"/>
    <x v="8"/>
    <x v="4"/>
    <x v="43"/>
    <n v="58.8"/>
    <s v="Gray"/>
    <s v="O−"/>
    <x v="1"/>
    <x v="27"/>
    <n v="58215"/>
  </r>
  <r>
    <x v="44"/>
    <x v="44"/>
    <s v="Mw."/>
    <s v="Elize"/>
    <m/>
    <s v="Prins"/>
    <x v="44"/>
    <s v="Taurus"/>
    <x v="0"/>
    <s v="DU"/>
    <x v="9"/>
    <x v="5"/>
    <x v="44"/>
    <n v="63.8"/>
    <s v="Blue"/>
    <s v="O+"/>
    <x v="0"/>
    <x v="29"/>
    <n v="39935"/>
  </r>
  <r>
    <x v="45"/>
    <x v="45"/>
    <s v="dhr."/>
    <s v="Ryan"/>
    <m/>
    <s v="Pham"/>
    <x v="45"/>
    <s v="Libra"/>
    <x v="1"/>
    <s v="DU"/>
    <x v="9"/>
    <x v="5"/>
    <x v="45"/>
    <n v="98.6"/>
    <s v="Amber"/>
    <s v="B+"/>
    <x v="1"/>
    <x v="20"/>
    <n v="44865"/>
  </r>
  <r>
    <x v="46"/>
    <x v="46"/>
    <s v="Mw"/>
    <s v="Elise"/>
    <m/>
    <s v="Rotteveel"/>
    <x v="46"/>
    <s v="Aries"/>
    <x v="0"/>
    <s v="DU"/>
    <x v="9"/>
    <x v="5"/>
    <x v="46"/>
    <n v="61.8"/>
    <s v="Gray"/>
    <s v="O−"/>
    <x v="1"/>
    <x v="20"/>
    <n v="90478"/>
  </r>
  <r>
    <x v="47"/>
    <x v="47"/>
    <s v="Fru."/>
    <s v="Mirjam"/>
    <m/>
    <s v="Soderberg"/>
    <x v="47"/>
    <s v="Taurus"/>
    <x v="0"/>
    <s v="SV"/>
    <x v="10"/>
    <x v="6"/>
    <x v="47"/>
    <n v="50"/>
    <s v="Amber"/>
    <s v="O+"/>
    <x v="1"/>
    <x v="2"/>
    <n v="38965"/>
  </r>
  <r>
    <x v="48"/>
    <x v="48"/>
    <s v="H."/>
    <s v="Berndt"/>
    <m/>
    <s v="Palsson"/>
    <x v="48"/>
    <s v="Pisces"/>
    <x v="1"/>
    <s v="SV"/>
    <x v="10"/>
    <x v="6"/>
    <x v="48"/>
    <n v="45.9"/>
    <s v="Blue"/>
    <s v="A−"/>
    <x v="1"/>
    <x v="30"/>
    <n v="35387"/>
  </r>
  <r>
    <x v="49"/>
    <x v="49"/>
    <s v="Sr."/>
    <s v="Adriano"/>
    <s v="Pontes"/>
    <s v="Sobrinho"/>
    <x v="49"/>
    <s v="Leo"/>
    <x v="1"/>
    <s v="PR"/>
    <x v="1"/>
    <x v="1"/>
    <x v="49"/>
    <n v="92.5"/>
    <s v="Green"/>
    <s v="A+"/>
    <x v="0"/>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94EAF-5BFD-4ADB-8C42-D7921FEC62D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D15" firstHeaderRow="1" firstDataRow="2" firstDataCol="1"/>
  <pivotFields count="22">
    <pivotField dataField="1" numFmtId="165" showAll="0" defaultSubtotal="0"/>
    <pivotField showAll="0" defaultSubtotal="0"/>
    <pivotField showAll="0" defaultSubtotal="0"/>
    <pivotField showAll="0" defaultSubtotal="0"/>
    <pivotField showAll="0" defaultSubtotal="0"/>
    <pivotField showAll="0" defaultSubtotal="0"/>
    <pivotField numFmtId="166" showAll="0" defaultSubtotal="0">
      <items count="50">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s>
    </pivotField>
    <pivotField showAll="0" defaultSubtotal="0"/>
    <pivotField axis="axisCol" showAll="0" defaultSubtotal="0">
      <items count="2">
        <item x="0"/>
        <item x="1"/>
      </items>
    </pivotField>
    <pivotField showAll="0" defaultSubtotal="0"/>
    <pivotField axis="axisRow" showAll="0" defaultSubtotal="0">
      <items count="11">
        <item x="7"/>
        <item x="4"/>
        <item x="5"/>
        <item x="1"/>
        <item x="6"/>
        <item x="3"/>
        <item x="9"/>
        <item x="8"/>
        <item x="10"/>
        <item x="2"/>
        <item x="0"/>
      </items>
    </pivotField>
    <pivotField showAll="0" defaultSubtotal="0"/>
    <pivotField showAll="0" defaultSubtotal="0"/>
    <pivotField numFmtId="167" showAll="0" defaultSubtotal="0"/>
    <pivotField showAll="0" defaultSubtotal="0"/>
    <pivotField showAll="0" defaultSubtotal="0"/>
    <pivotField showAll="0" defaultSubtotal="0"/>
    <pivotField showAll="0" defaultSubtotal="0"/>
    <pivotField numFmtId="168"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MEMBER ID" fld="0" subtotal="count" baseField="1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B811B-F788-4F83-A8E4-06D9A96175F5}" name="PivotTable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Pivot Table Data">
  <location ref="A3:H103" firstHeaderRow="1" firstDataRow="1" firstDataCol="8" rowPageCount="1" colPageCount="1"/>
  <pivotFields count="22">
    <pivotField axis="axisRow" compact="0" numFmtId="165" outline="0" showAll="0" insertBlankRow="1"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insertBlankRow="1"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4"/>
        <item x="46"/>
        <item x="28"/>
        <item x="14"/>
        <item x="10"/>
        <item x="49"/>
        <item x="39"/>
        <item x="38"/>
        <item x="2"/>
        <item x="41"/>
        <item x="43"/>
        <item x="42"/>
        <item x="40"/>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6" outline="0" showAll="0" insertBlankRow="1" defaultSubtotal="0">
      <items count="50">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s>
    </pivotField>
    <pivotField compact="0" outline="0" showAll="0" insertBlankRow="1" defaultSubtotal="0"/>
    <pivotField axis="axisRow" compact="0" outline="0" showAll="0" insertBlankRow="1" defaultSubtotal="0">
      <items count="2">
        <item x="0"/>
        <item x="1"/>
      </items>
    </pivotField>
    <pivotField compact="0" outline="0" showAll="0" insertBlankRow="1" defaultSubtotal="0"/>
    <pivotField axis="axisRow" compact="0" outline="0" showAll="0" insertBlankRow="1" defaultSubtotal="0">
      <items count="11">
        <item x="7"/>
        <item x="4"/>
        <item x="5"/>
        <item x="1"/>
        <item x="6"/>
        <item x="3"/>
        <item x="9"/>
        <item x="8"/>
        <item x="10"/>
        <item x="2"/>
        <item x="0"/>
      </items>
    </pivotField>
    <pivotField axis="axisRow" compact="0" outline="0" showAll="0" insertBlankRow="1" defaultSubtotal="0">
      <items count="7">
        <item x="5"/>
        <item x="0"/>
        <item x="3"/>
        <item x="2"/>
        <item x="1"/>
        <item x="4"/>
        <item x="6"/>
      </items>
    </pivotField>
    <pivotField axis="axisRow" compact="0" outline="0" showAll="0" insertBlankRow="1" defaultSubtotal="0">
      <items count="50">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s>
    </pivotField>
    <pivotField compact="0" numFmtId="167" outline="0" showAll="0" insertBlankRow="1" defaultSubtotal="0"/>
    <pivotField compact="0" outline="0" showAll="0" insertBlankRow="1" defaultSubtotal="0"/>
    <pivotField compact="0" outline="0" showAll="0" insertBlankRow="1" defaultSubtotal="0"/>
    <pivotField axis="axisPage" compact="0" outline="0" multipleItemSelectionAllowed="1" showAll="0" insertBlankRow="1" defaultSubtotal="0">
      <items count="2">
        <item x="0"/>
        <item x="1"/>
      </items>
    </pivotField>
    <pivotField axis="axisRow" compact="0" outline="0" showAll="0" insertBlankRow="1" defaultSubtotal="0">
      <items count="32">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s>
    </pivotField>
    <pivotField compact="0" numFmtId="168" outline="0" showAll="0" insertBlankRow="1" defaultSubtotal="0"/>
    <pivotField compact="0" outline="0" showAll="0" insertBlankRow="1" defaultSubtotal="0">
      <items count="14">
        <item sd="0" x="0"/>
        <item sd="0" x="1"/>
        <item sd="0" x="2"/>
        <item sd="0" x="3"/>
        <item sd="0" x="4"/>
        <item sd="0" x="5"/>
        <item sd="0" x="6"/>
        <item sd="0" x="7"/>
        <item sd="0" x="8"/>
        <item sd="0" x="9"/>
        <item sd="0" x="10"/>
        <item sd="0" x="11"/>
        <item sd="0" x="12"/>
        <item sd="0" x="13"/>
      </items>
    </pivotField>
    <pivotField compact="0" outline="0" showAll="0" insertBlankRow="1" defaultSubtotal="0">
      <items count="6">
        <item sd="0" x="0"/>
        <item sd="0" x="1"/>
        <item sd="0" x="2"/>
        <item x="3"/>
        <item sd="0" x="4"/>
        <item sd="0" x="5"/>
      </items>
    </pivotField>
    <pivotField axis="axisRow" compact="0" outline="0" showAll="0" insertBlankRow="1" defaultSubtotal="0">
      <items count="47">
        <item sd="0" x="0"/>
        <item sd="0" x="1"/>
        <item sd="0" x="2"/>
        <item sd="0" x="3"/>
        <item sd="0" x="4"/>
        <item sd="0" x="5"/>
        <item sd="0" x="6"/>
        <item sd="0" x="7"/>
        <item sd="0" x="8"/>
        <item sd="0" x="9"/>
        <item sd="0" x="10"/>
        <item sd="0" x="11"/>
        <item sd="0" x="12"/>
        <item sd="0" x="13"/>
        <item sd="0" x="14"/>
        <item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x="38"/>
        <item sd="0" x="39"/>
        <item sd="0" x="40"/>
        <item sd="0" x="41"/>
        <item sd="0" x="42"/>
        <item x="43"/>
        <item sd="0" x="44"/>
        <item sd="0" x="45"/>
        <item sd="0" x="46"/>
      </items>
    </pivotField>
  </pivotFields>
  <rowFields count="8">
    <field x="0"/>
    <field x="1"/>
    <field x="12"/>
    <field x="8"/>
    <field x="21"/>
    <field x="10"/>
    <field x="11"/>
    <field x="17"/>
  </rowFields>
  <rowItems count="100">
    <i>
      <x/>
      <x v="32"/>
      <x/>
      <x/>
      <x v="43"/>
      <x v="10"/>
      <x v="1"/>
      <x v="13"/>
    </i>
    <i t="blank" r="6">
      <x v="1"/>
    </i>
    <i>
      <x v="1"/>
      <x v="33"/>
      <x v="18"/>
      <x/>
      <x v="38"/>
      <x v="10"/>
      <x v="1"/>
      <x v="6"/>
    </i>
    <i t="blank" r="6">
      <x v="1"/>
    </i>
    <i>
      <x v="2"/>
      <x v="45"/>
      <x v="10"/>
      <x v="1"/>
      <x v="15"/>
      <x v="3"/>
      <x v="4"/>
      <x v="17"/>
    </i>
    <i t="blank" r="6">
      <x v="4"/>
    </i>
    <i>
      <x v="3"/>
      <x v="34"/>
      <x v="7"/>
      <x/>
      <x v="21"/>
    </i>
    <i t="blank" r="4">
      <x v="21"/>
    </i>
    <i>
      <x v="4"/>
      <x v="3"/>
      <x v="5"/>
      <x v="1"/>
      <x v="16"/>
    </i>
    <i t="blank" r="4">
      <x v="16"/>
    </i>
    <i>
      <x v="5"/>
      <x v="26"/>
      <x v="19"/>
      <x v="1"/>
      <x v="38"/>
      <x v="10"/>
      <x v="1"/>
      <x v="16"/>
    </i>
    <i t="blank" r="6">
      <x v="1"/>
    </i>
    <i>
      <x v="6"/>
      <x v="31"/>
      <x v="9"/>
      <x/>
      <x v="45"/>
    </i>
    <i t="blank" r="4">
      <x v="45"/>
    </i>
    <i>
      <x v="7"/>
      <x v="27"/>
      <x v="30"/>
      <x v="1"/>
      <x v="9"/>
    </i>
    <i t="blank" r="4">
      <x v="9"/>
    </i>
    <i>
      <x v="8"/>
      <x v="30"/>
      <x v="41"/>
      <x/>
      <x v="17"/>
    </i>
    <i t="blank" r="4">
      <x v="17"/>
    </i>
    <i>
      <x v="9"/>
      <x v="28"/>
      <x v="38"/>
      <x v="1"/>
      <x v="10"/>
    </i>
    <i t="blank" r="4">
      <x v="10"/>
    </i>
    <i>
      <x v="10"/>
      <x v="41"/>
      <x v="23"/>
      <x v="1"/>
      <x v="32"/>
    </i>
    <i t="blank" r="4">
      <x v="32"/>
    </i>
    <i>
      <x v="11"/>
      <x v="29"/>
      <x v="49"/>
      <x/>
      <x v="23"/>
    </i>
    <i t="blank" r="4">
      <x v="23"/>
    </i>
    <i>
      <x v="12"/>
      <x v="36"/>
      <x v="37"/>
      <x/>
      <x v="23"/>
    </i>
    <i t="blank" r="4">
      <x v="23"/>
    </i>
    <i>
      <x v="13"/>
      <x v="11"/>
      <x v="47"/>
      <x v="1"/>
      <x v="5"/>
    </i>
    <i t="blank" r="4">
      <x v="5"/>
    </i>
    <i>
      <x v="14"/>
      <x v="40"/>
      <x v="36"/>
      <x/>
      <x v="11"/>
    </i>
    <i t="blank" r="4">
      <x v="11"/>
    </i>
    <i>
      <x v="15"/>
      <x v="12"/>
      <x v="4"/>
      <x v="1"/>
      <x v="15"/>
      <x v="5"/>
      <x v="3"/>
      <x/>
    </i>
    <i t="blank" r="6">
      <x v="3"/>
    </i>
    <i>
      <x v="16"/>
      <x v="13"/>
      <x v="42"/>
      <x v="1"/>
      <x v="18"/>
    </i>
    <i t="blank" r="4">
      <x v="18"/>
    </i>
    <i>
      <x v="17"/>
      <x v="14"/>
      <x v="44"/>
      <x v="1"/>
      <x v="5"/>
    </i>
    <i t="blank" r="4">
      <x v="5"/>
    </i>
    <i>
      <x v="18"/>
      <x v="2"/>
      <x v="31"/>
      <x/>
      <x v="23"/>
    </i>
    <i t="blank" r="4">
      <x v="23"/>
    </i>
    <i>
      <x v="19"/>
      <x v="24"/>
      <x v="12"/>
      <x v="1"/>
      <x v="22"/>
    </i>
    <i t="blank" r="4">
      <x v="22"/>
    </i>
    <i>
      <x v="20"/>
      <x v="25"/>
      <x v="35"/>
      <x v="1"/>
      <x v="42"/>
    </i>
    <i t="blank" r="4">
      <x v="42"/>
    </i>
    <i>
      <x v="21"/>
      <x v="1"/>
      <x v="25"/>
      <x/>
      <x v="10"/>
    </i>
    <i t="blank" r="4">
      <x v="10"/>
    </i>
    <i>
      <x v="22"/>
      <x v="4"/>
      <x v="46"/>
      <x/>
      <x v="1"/>
    </i>
    <i t="blank" r="4">
      <x v="1"/>
    </i>
    <i>
      <x v="23"/>
      <x v="5"/>
      <x v="3"/>
      <x/>
      <x v="45"/>
    </i>
    <i t="blank" r="4">
      <x v="45"/>
    </i>
    <i>
      <x v="24"/>
      <x v="6"/>
      <x v="1"/>
      <x/>
      <x v="12"/>
    </i>
    <i t="blank" r="4">
      <x v="12"/>
    </i>
    <i>
      <x v="25"/>
      <x v="35"/>
      <x v="34"/>
      <x/>
      <x v="24"/>
    </i>
    <i t="blank" r="4">
      <x v="24"/>
    </i>
    <i>
      <x v="26"/>
      <x v="9"/>
      <x v="48"/>
      <x v="1"/>
      <x v="16"/>
    </i>
    <i t="blank" r="4">
      <x v="16"/>
    </i>
    <i>
      <x v="27"/>
      <x v="10"/>
      <x v="14"/>
      <x v="1"/>
      <x v="28"/>
    </i>
    <i t="blank" r="4">
      <x v="28"/>
    </i>
    <i>
      <x v="28"/>
      <x v="39"/>
      <x v="32"/>
      <x/>
      <x v="40"/>
    </i>
    <i t="blank" r="4">
      <x v="40"/>
    </i>
    <i>
      <x v="29"/>
      <x v="23"/>
      <x v="22"/>
      <x/>
      <x v="25"/>
    </i>
    <i t="blank" r="4">
      <x v="25"/>
    </i>
    <i>
      <x v="30"/>
      <x v="22"/>
      <x v="8"/>
      <x/>
      <x v="35"/>
    </i>
    <i t="blank" r="4">
      <x v="35"/>
    </i>
    <i>
      <x v="31"/>
      <x v="21"/>
      <x v="6"/>
      <x/>
      <x v="16"/>
    </i>
    <i t="blank" r="4">
      <x v="16"/>
    </i>
    <i>
      <x v="32"/>
      <x v="19"/>
      <x v="45"/>
      <x v="1"/>
      <x v="26"/>
    </i>
    <i t="blank" r="4">
      <x v="26"/>
    </i>
    <i>
      <x v="33"/>
      <x v="20"/>
      <x v="17"/>
      <x v="1"/>
      <x v="27"/>
    </i>
    <i t="blank" r="4">
      <x v="27"/>
    </i>
    <i>
      <x v="34"/>
      <x v="16"/>
      <x v="16"/>
      <x v="1"/>
      <x v="1"/>
    </i>
    <i t="blank" r="4">
      <x v="1"/>
    </i>
    <i>
      <x v="35"/>
      <x v="17"/>
      <x v="15"/>
      <x v="1"/>
      <x v="21"/>
    </i>
    <i t="blank" r="4">
      <x v="21"/>
    </i>
    <i>
      <x v="36"/>
      <x v="15"/>
      <x v="20"/>
      <x v="1"/>
      <x v="32"/>
    </i>
    <i t="blank" r="4">
      <x v="32"/>
    </i>
    <i>
      <x v="37"/>
      <x v="18"/>
      <x v="13"/>
      <x v="1"/>
      <x v="29"/>
    </i>
    <i t="blank" r="4">
      <x v="29"/>
    </i>
    <i>
      <x v="38"/>
      <x v="44"/>
      <x v="43"/>
      <x v="1"/>
      <x v="30"/>
    </i>
    <i t="blank" r="4">
      <x v="30"/>
    </i>
    <i>
      <x v="39"/>
      <x v="43"/>
      <x v="28"/>
      <x v="1"/>
      <x v="34"/>
    </i>
    <i t="blank" r="4">
      <x v="34"/>
    </i>
    <i>
      <x v="40"/>
      <x v="49"/>
      <x v="24"/>
      <x/>
      <x v="20"/>
    </i>
    <i t="blank" r="4">
      <x v="20"/>
    </i>
    <i>
      <x v="41"/>
      <x v="46"/>
      <x v="11"/>
      <x/>
      <x v="36"/>
    </i>
    <i t="blank" r="4">
      <x v="36"/>
    </i>
    <i>
      <x v="42"/>
      <x v="48"/>
      <x v="2"/>
      <x/>
      <x v="6"/>
    </i>
    <i t="blank" r="4">
      <x v="6"/>
    </i>
    <i>
      <x v="43"/>
      <x v="47"/>
      <x v="21"/>
      <x/>
      <x v="11"/>
    </i>
    <i t="blank" r="4">
      <x v="11"/>
    </i>
    <i>
      <x v="44"/>
      <x v="37"/>
      <x v="29"/>
      <x/>
      <x v="6"/>
    </i>
    <i t="blank" r="4">
      <x v="6"/>
    </i>
    <i>
      <x v="45"/>
      <x/>
      <x v="27"/>
      <x v="1"/>
      <x v="19"/>
    </i>
    <i t="blank" r="4">
      <x v="19"/>
    </i>
    <i>
      <x v="46"/>
      <x v="38"/>
      <x v="33"/>
      <x/>
      <x v="14"/>
    </i>
    <i t="blank" r="4">
      <x v="14"/>
    </i>
    <i>
      <x v="47"/>
      <x v="7"/>
      <x v="40"/>
      <x/>
      <x v="43"/>
      <x v="8"/>
      <x v="6"/>
      <x v="17"/>
    </i>
    <i t="blank" r="6">
      <x v="6"/>
    </i>
    <i>
      <x v="48"/>
      <x v="8"/>
      <x v="26"/>
      <x v="1"/>
      <x v="33"/>
    </i>
    <i t="blank" r="4">
      <x v="33"/>
    </i>
    <i>
      <x v="49"/>
      <x v="42"/>
      <x v="39"/>
      <x v="1"/>
      <x v="39"/>
    </i>
    <i t="blank" r="4">
      <x v="39"/>
    </i>
  </rowItems>
  <colItems count="1">
    <i/>
  </colItems>
  <pageFields count="1">
    <pageField fld="16" hier="-1"/>
  </pageFields>
  <formats count="445">
    <format dxfId="4004">
      <pivotArea field="16" type="button" dataOnly="0" labelOnly="1" outline="0" axis="axisPage" fieldPosition="0"/>
    </format>
    <format dxfId="4003">
      <pivotArea field="16" type="button" dataOnly="0" labelOnly="1" outline="0" axis="axisPage" fieldPosition="0"/>
    </format>
    <format dxfId="4002">
      <pivotArea field="16" type="button" dataOnly="0" labelOnly="1" outline="0" axis="axisPage" fieldPosition="0"/>
    </format>
    <format dxfId="4001">
      <pivotArea field="16" type="button" dataOnly="0" labelOnly="1" outline="0" axis="axisPage" fieldPosition="0"/>
    </format>
    <format dxfId="4000">
      <pivotArea field="0" type="button" dataOnly="0" labelOnly="1" outline="0" axis="axisRow" fieldPosition="0"/>
    </format>
    <format dxfId="3999">
      <pivotArea field="0" type="button" dataOnly="0" labelOnly="1" outline="0" axis="axisRow" fieldPosition="0"/>
    </format>
    <format dxfId="3998">
      <pivotArea field="16" type="button" dataOnly="0" labelOnly="1" outline="0" axis="axisPage" fieldPosition="0"/>
    </format>
    <format dxfId="3997">
      <pivotArea dataOnly="0" labelOnly="1" fieldPosition="0">
        <references count="1">
          <reference field="0" count="0"/>
        </references>
      </pivotArea>
    </format>
    <format dxfId="3996">
      <pivotArea dataOnly="0" labelOnly="1" fieldPosition="0">
        <references count="2">
          <reference field="0" count="1" selected="0">
            <x v="0"/>
          </reference>
          <reference field="1" count="1">
            <x v="32"/>
          </reference>
        </references>
      </pivotArea>
    </format>
    <format dxfId="3995">
      <pivotArea dataOnly="0" labelOnly="1" fieldPosition="0">
        <references count="2">
          <reference field="0" count="1" selected="0">
            <x v="1"/>
          </reference>
          <reference field="1" count="1">
            <x v="33"/>
          </reference>
        </references>
      </pivotArea>
    </format>
    <format dxfId="3994">
      <pivotArea dataOnly="0" labelOnly="1" fieldPosition="0">
        <references count="2">
          <reference field="0" count="1" selected="0">
            <x v="2"/>
          </reference>
          <reference field="1" count="1">
            <x v="45"/>
          </reference>
        </references>
      </pivotArea>
    </format>
    <format dxfId="3993">
      <pivotArea dataOnly="0" labelOnly="1" fieldPosition="0">
        <references count="2">
          <reference field="0" count="1" selected="0">
            <x v="3"/>
          </reference>
          <reference field="1" count="1">
            <x v="34"/>
          </reference>
        </references>
      </pivotArea>
    </format>
    <format dxfId="3992">
      <pivotArea dataOnly="0" labelOnly="1" fieldPosition="0">
        <references count="2">
          <reference field="0" count="1" selected="0">
            <x v="4"/>
          </reference>
          <reference field="1" count="1">
            <x v="3"/>
          </reference>
        </references>
      </pivotArea>
    </format>
    <format dxfId="3991">
      <pivotArea dataOnly="0" labelOnly="1" fieldPosition="0">
        <references count="2">
          <reference field="0" count="1" selected="0">
            <x v="5"/>
          </reference>
          <reference field="1" count="1">
            <x v="26"/>
          </reference>
        </references>
      </pivotArea>
    </format>
    <format dxfId="3990">
      <pivotArea dataOnly="0" labelOnly="1" fieldPosition="0">
        <references count="2">
          <reference field="0" count="1" selected="0">
            <x v="6"/>
          </reference>
          <reference field="1" count="1">
            <x v="31"/>
          </reference>
        </references>
      </pivotArea>
    </format>
    <format dxfId="3989">
      <pivotArea dataOnly="0" labelOnly="1" fieldPosition="0">
        <references count="2">
          <reference field="0" count="1" selected="0">
            <x v="7"/>
          </reference>
          <reference field="1" count="1">
            <x v="27"/>
          </reference>
        </references>
      </pivotArea>
    </format>
    <format dxfId="3988">
      <pivotArea dataOnly="0" labelOnly="1" fieldPosition="0">
        <references count="2">
          <reference field="0" count="1" selected="0">
            <x v="8"/>
          </reference>
          <reference field="1" count="1">
            <x v="30"/>
          </reference>
        </references>
      </pivotArea>
    </format>
    <format dxfId="3987">
      <pivotArea dataOnly="0" labelOnly="1" fieldPosition="0">
        <references count="2">
          <reference field="0" count="1" selected="0">
            <x v="9"/>
          </reference>
          <reference field="1" count="1">
            <x v="28"/>
          </reference>
        </references>
      </pivotArea>
    </format>
    <format dxfId="3986">
      <pivotArea dataOnly="0" labelOnly="1" fieldPosition="0">
        <references count="2">
          <reference field="0" count="1" selected="0">
            <x v="10"/>
          </reference>
          <reference field="1" count="1">
            <x v="41"/>
          </reference>
        </references>
      </pivotArea>
    </format>
    <format dxfId="3985">
      <pivotArea dataOnly="0" labelOnly="1" fieldPosition="0">
        <references count="2">
          <reference field="0" count="1" selected="0">
            <x v="11"/>
          </reference>
          <reference field="1" count="1">
            <x v="29"/>
          </reference>
        </references>
      </pivotArea>
    </format>
    <format dxfId="3984">
      <pivotArea dataOnly="0" labelOnly="1" fieldPosition="0">
        <references count="2">
          <reference field="0" count="1" selected="0">
            <x v="12"/>
          </reference>
          <reference field="1" count="1">
            <x v="36"/>
          </reference>
        </references>
      </pivotArea>
    </format>
    <format dxfId="3983">
      <pivotArea dataOnly="0" labelOnly="1" fieldPosition="0">
        <references count="2">
          <reference field="0" count="1" selected="0">
            <x v="13"/>
          </reference>
          <reference field="1" count="1">
            <x v="11"/>
          </reference>
        </references>
      </pivotArea>
    </format>
    <format dxfId="3982">
      <pivotArea dataOnly="0" labelOnly="1" fieldPosition="0">
        <references count="2">
          <reference field="0" count="1" selected="0">
            <x v="14"/>
          </reference>
          <reference field="1" count="1">
            <x v="40"/>
          </reference>
        </references>
      </pivotArea>
    </format>
    <format dxfId="3981">
      <pivotArea dataOnly="0" labelOnly="1" fieldPosition="0">
        <references count="2">
          <reference field="0" count="1" selected="0">
            <x v="15"/>
          </reference>
          <reference field="1" count="1">
            <x v="12"/>
          </reference>
        </references>
      </pivotArea>
    </format>
    <format dxfId="3980">
      <pivotArea dataOnly="0" labelOnly="1" fieldPosition="0">
        <references count="2">
          <reference field="0" count="1" selected="0">
            <x v="16"/>
          </reference>
          <reference field="1" count="1">
            <x v="13"/>
          </reference>
        </references>
      </pivotArea>
    </format>
    <format dxfId="3979">
      <pivotArea dataOnly="0" labelOnly="1" fieldPosition="0">
        <references count="2">
          <reference field="0" count="1" selected="0">
            <x v="17"/>
          </reference>
          <reference field="1" count="1">
            <x v="14"/>
          </reference>
        </references>
      </pivotArea>
    </format>
    <format dxfId="3978">
      <pivotArea dataOnly="0" labelOnly="1" fieldPosition="0">
        <references count="2">
          <reference field="0" count="1" selected="0">
            <x v="18"/>
          </reference>
          <reference field="1" count="1">
            <x v="2"/>
          </reference>
        </references>
      </pivotArea>
    </format>
    <format dxfId="3977">
      <pivotArea dataOnly="0" labelOnly="1" fieldPosition="0">
        <references count="2">
          <reference field="0" count="1" selected="0">
            <x v="19"/>
          </reference>
          <reference field="1" count="1">
            <x v="24"/>
          </reference>
        </references>
      </pivotArea>
    </format>
    <format dxfId="3976">
      <pivotArea dataOnly="0" labelOnly="1" fieldPosition="0">
        <references count="2">
          <reference field="0" count="1" selected="0">
            <x v="20"/>
          </reference>
          <reference field="1" count="1">
            <x v="25"/>
          </reference>
        </references>
      </pivotArea>
    </format>
    <format dxfId="3975">
      <pivotArea dataOnly="0" labelOnly="1" fieldPosition="0">
        <references count="2">
          <reference field="0" count="1" selected="0">
            <x v="21"/>
          </reference>
          <reference field="1" count="1">
            <x v="1"/>
          </reference>
        </references>
      </pivotArea>
    </format>
    <format dxfId="3974">
      <pivotArea dataOnly="0" labelOnly="1" fieldPosition="0">
        <references count="2">
          <reference field="0" count="1" selected="0">
            <x v="22"/>
          </reference>
          <reference field="1" count="1">
            <x v="4"/>
          </reference>
        </references>
      </pivotArea>
    </format>
    <format dxfId="3973">
      <pivotArea dataOnly="0" labelOnly="1" fieldPosition="0">
        <references count="2">
          <reference field="0" count="1" selected="0">
            <x v="23"/>
          </reference>
          <reference field="1" count="1">
            <x v="5"/>
          </reference>
        </references>
      </pivotArea>
    </format>
    <format dxfId="3972">
      <pivotArea dataOnly="0" labelOnly="1" fieldPosition="0">
        <references count="2">
          <reference field="0" count="1" selected="0">
            <x v="24"/>
          </reference>
          <reference field="1" count="1">
            <x v="6"/>
          </reference>
        </references>
      </pivotArea>
    </format>
    <format dxfId="3971">
      <pivotArea dataOnly="0" labelOnly="1" fieldPosition="0">
        <references count="2">
          <reference field="0" count="1" selected="0">
            <x v="25"/>
          </reference>
          <reference field="1" count="1">
            <x v="35"/>
          </reference>
        </references>
      </pivotArea>
    </format>
    <format dxfId="3970">
      <pivotArea dataOnly="0" labelOnly="1" fieldPosition="0">
        <references count="2">
          <reference field="0" count="1" selected="0">
            <x v="26"/>
          </reference>
          <reference field="1" count="1">
            <x v="9"/>
          </reference>
        </references>
      </pivotArea>
    </format>
    <format dxfId="3969">
      <pivotArea dataOnly="0" labelOnly="1" fieldPosition="0">
        <references count="2">
          <reference field="0" count="1" selected="0">
            <x v="27"/>
          </reference>
          <reference field="1" count="1">
            <x v="10"/>
          </reference>
        </references>
      </pivotArea>
    </format>
    <format dxfId="3968">
      <pivotArea dataOnly="0" labelOnly="1" fieldPosition="0">
        <references count="2">
          <reference field="0" count="1" selected="0">
            <x v="28"/>
          </reference>
          <reference field="1" count="1">
            <x v="39"/>
          </reference>
        </references>
      </pivotArea>
    </format>
    <format dxfId="3967">
      <pivotArea dataOnly="0" labelOnly="1" fieldPosition="0">
        <references count="2">
          <reference field="0" count="1" selected="0">
            <x v="29"/>
          </reference>
          <reference field="1" count="1">
            <x v="23"/>
          </reference>
        </references>
      </pivotArea>
    </format>
    <format dxfId="3966">
      <pivotArea dataOnly="0" labelOnly="1" fieldPosition="0">
        <references count="2">
          <reference field="0" count="1" selected="0">
            <x v="30"/>
          </reference>
          <reference field="1" count="1">
            <x v="22"/>
          </reference>
        </references>
      </pivotArea>
    </format>
    <format dxfId="3965">
      <pivotArea dataOnly="0" labelOnly="1" fieldPosition="0">
        <references count="2">
          <reference field="0" count="1" selected="0">
            <x v="31"/>
          </reference>
          <reference field="1" count="1">
            <x v="21"/>
          </reference>
        </references>
      </pivotArea>
    </format>
    <format dxfId="3964">
      <pivotArea dataOnly="0" labelOnly="1" fieldPosition="0">
        <references count="2">
          <reference field="0" count="1" selected="0">
            <x v="32"/>
          </reference>
          <reference field="1" count="1">
            <x v="19"/>
          </reference>
        </references>
      </pivotArea>
    </format>
    <format dxfId="3963">
      <pivotArea dataOnly="0" labelOnly="1" fieldPosition="0">
        <references count="2">
          <reference field="0" count="1" selected="0">
            <x v="33"/>
          </reference>
          <reference field="1" count="1">
            <x v="20"/>
          </reference>
        </references>
      </pivotArea>
    </format>
    <format dxfId="3962">
      <pivotArea dataOnly="0" labelOnly="1" fieldPosition="0">
        <references count="2">
          <reference field="0" count="1" selected="0">
            <x v="34"/>
          </reference>
          <reference field="1" count="1">
            <x v="16"/>
          </reference>
        </references>
      </pivotArea>
    </format>
    <format dxfId="3961">
      <pivotArea dataOnly="0" labelOnly="1" fieldPosition="0">
        <references count="2">
          <reference field="0" count="1" selected="0">
            <x v="35"/>
          </reference>
          <reference field="1" count="1">
            <x v="17"/>
          </reference>
        </references>
      </pivotArea>
    </format>
    <format dxfId="3960">
      <pivotArea dataOnly="0" labelOnly="1" fieldPosition="0">
        <references count="2">
          <reference field="0" count="1" selected="0">
            <x v="36"/>
          </reference>
          <reference field="1" count="1">
            <x v="15"/>
          </reference>
        </references>
      </pivotArea>
    </format>
    <format dxfId="3959">
      <pivotArea dataOnly="0" labelOnly="1" fieldPosition="0">
        <references count="2">
          <reference field="0" count="1" selected="0">
            <x v="37"/>
          </reference>
          <reference field="1" count="1">
            <x v="18"/>
          </reference>
        </references>
      </pivotArea>
    </format>
    <format dxfId="3958">
      <pivotArea dataOnly="0" labelOnly="1" fieldPosition="0">
        <references count="2">
          <reference field="0" count="1" selected="0">
            <x v="38"/>
          </reference>
          <reference field="1" count="1">
            <x v="44"/>
          </reference>
        </references>
      </pivotArea>
    </format>
    <format dxfId="3957">
      <pivotArea dataOnly="0" labelOnly="1" fieldPosition="0">
        <references count="2">
          <reference field="0" count="1" selected="0">
            <x v="39"/>
          </reference>
          <reference field="1" count="1">
            <x v="43"/>
          </reference>
        </references>
      </pivotArea>
    </format>
    <format dxfId="3956">
      <pivotArea dataOnly="0" labelOnly="1" fieldPosition="0">
        <references count="2">
          <reference field="0" count="1" selected="0">
            <x v="40"/>
          </reference>
          <reference field="1" count="1">
            <x v="49"/>
          </reference>
        </references>
      </pivotArea>
    </format>
    <format dxfId="3955">
      <pivotArea dataOnly="0" labelOnly="1" fieldPosition="0">
        <references count="2">
          <reference field="0" count="1" selected="0">
            <x v="41"/>
          </reference>
          <reference field="1" count="1">
            <x v="46"/>
          </reference>
        </references>
      </pivotArea>
    </format>
    <format dxfId="3954">
      <pivotArea dataOnly="0" labelOnly="1" fieldPosition="0">
        <references count="2">
          <reference field="0" count="1" selected="0">
            <x v="42"/>
          </reference>
          <reference field="1" count="1">
            <x v="48"/>
          </reference>
        </references>
      </pivotArea>
    </format>
    <format dxfId="3953">
      <pivotArea dataOnly="0" labelOnly="1" fieldPosition="0">
        <references count="2">
          <reference field="0" count="1" selected="0">
            <x v="43"/>
          </reference>
          <reference field="1" count="1">
            <x v="47"/>
          </reference>
        </references>
      </pivotArea>
    </format>
    <format dxfId="3952">
      <pivotArea dataOnly="0" labelOnly="1" fieldPosition="0">
        <references count="2">
          <reference field="0" count="1" selected="0">
            <x v="44"/>
          </reference>
          <reference field="1" count="1">
            <x v="37"/>
          </reference>
        </references>
      </pivotArea>
    </format>
    <format dxfId="3951">
      <pivotArea dataOnly="0" labelOnly="1" fieldPosition="0">
        <references count="2">
          <reference field="0" count="1" selected="0">
            <x v="45"/>
          </reference>
          <reference field="1" count="1">
            <x v="0"/>
          </reference>
        </references>
      </pivotArea>
    </format>
    <format dxfId="3950">
      <pivotArea dataOnly="0" labelOnly="1" fieldPosition="0">
        <references count="2">
          <reference field="0" count="1" selected="0">
            <x v="46"/>
          </reference>
          <reference field="1" count="1">
            <x v="38"/>
          </reference>
        </references>
      </pivotArea>
    </format>
    <format dxfId="3949">
      <pivotArea dataOnly="0" labelOnly="1" fieldPosition="0">
        <references count="2">
          <reference field="0" count="1" selected="0">
            <x v="47"/>
          </reference>
          <reference field="1" count="1">
            <x v="7"/>
          </reference>
        </references>
      </pivotArea>
    </format>
    <format dxfId="3948">
      <pivotArea dataOnly="0" labelOnly="1" fieldPosition="0">
        <references count="2">
          <reference field="0" count="1" selected="0">
            <x v="48"/>
          </reference>
          <reference field="1" count="1">
            <x v="8"/>
          </reference>
        </references>
      </pivotArea>
    </format>
    <format dxfId="3947">
      <pivotArea dataOnly="0" labelOnly="1" fieldPosition="0">
        <references count="2">
          <reference field="0" count="1" selected="0">
            <x v="49"/>
          </reference>
          <reference field="1" count="1">
            <x v="42"/>
          </reference>
        </references>
      </pivotArea>
    </format>
    <format dxfId="3946">
      <pivotArea dataOnly="0" labelOnly="1" fieldPosition="0">
        <references count="3">
          <reference field="0" count="1" selected="0">
            <x v="0"/>
          </reference>
          <reference field="1" count="1" selected="0">
            <x v="32"/>
          </reference>
          <reference field="12" count="1">
            <x v="0"/>
          </reference>
        </references>
      </pivotArea>
    </format>
    <format dxfId="3945">
      <pivotArea dataOnly="0" labelOnly="1" fieldPosition="0">
        <references count="3">
          <reference field="0" count="1" selected="0">
            <x v="1"/>
          </reference>
          <reference field="1" count="1" selected="0">
            <x v="33"/>
          </reference>
          <reference field="12" count="1">
            <x v="18"/>
          </reference>
        </references>
      </pivotArea>
    </format>
    <format dxfId="3944">
      <pivotArea dataOnly="0" labelOnly="1" fieldPosition="0">
        <references count="3">
          <reference field="0" count="1" selected="0">
            <x v="2"/>
          </reference>
          <reference field="1" count="1" selected="0">
            <x v="45"/>
          </reference>
          <reference field="12" count="1">
            <x v="10"/>
          </reference>
        </references>
      </pivotArea>
    </format>
    <format dxfId="3943">
      <pivotArea dataOnly="0" labelOnly="1" fieldPosition="0">
        <references count="3">
          <reference field="0" count="1" selected="0">
            <x v="3"/>
          </reference>
          <reference field="1" count="1" selected="0">
            <x v="34"/>
          </reference>
          <reference field="12" count="1">
            <x v="7"/>
          </reference>
        </references>
      </pivotArea>
    </format>
    <format dxfId="3942">
      <pivotArea dataOnly="0" labelOnly="1" fieldPosition="0">
        <references count="3">
          <reference field="0" count="1" selected="0">
            <x v="4"/>
          </reference>
          <reference field="1" count="1" selected="0">
            <x v="3"/>
          </reference>
          <reference field="12" count="1">
            <x v="5"/>
          </reference>
        </references>
      </pivotArea>
    </format>
    <format dxfId="3941">
      <pivotArea dataOnly="0" labelOnly="1" fieldPosition="0">
        <references count="3">
          <reference field="0" count="1" selected="0">
            <x v="5"/>
          </reference>
          <reference field="1" count="1" selected="0">
            <x v="26"/>
          </reference>
          <reference field="12" count="1">
            <x v="19"/>
          </reference>
        </references>
      </pivotArea>
    </format>
    <format dxfId="3940">
      <pivotArea dataOnly="0" labelOnly="1" fieldPosition="0">
        <references count="3">
          <reference field="0" count="1" selected="0">
            <x v="6"/>
          </reference>
          <reference field="1" count="1" selected="0">
            <x v="31"/>
          </reference>
          <reference field="12" count="1">
            <x v="9"/>
          </reference>
        </references>
      </pivotArea>
    </format>
    <format dxfId="3939">
      <pivotArea dataOnly="0" labelOnly="1" fieldPosition="0">
        <references count="3">
          <reference field="0" count="1" selected="0">
            <x v="7"/>
          </reference>
          <reference field="1" count="1" selected="0">
            <x v="27"/>
          </reference>
          <reference field="12" count="1">
            <x v="30"/>
          </reference>
        </references>
      </pivotArea>
    </format>
    <format dxfId="3938">
      <pivotArea dataOnly="0" labelOnly="1" fieldPosition="0">
        <references count="3">
          <reference field="0" count="1" selected="0">
            <x v="8"/>
          </reference>
          <reference field="1" count="1" selected="0">
            <x v="30"/>
          </reference>
          <reference field="12" count="1">
            <x v="41"/>
          </reference>
        </references>
      </pivotArea>
    </format>
    <format dxfId="3937">
      <pivotArea dataOnly="0" labelOnly="1" fieldPosition="0">
        <references count="3">
          <reference field="0" count="1" selected="0">
            <x v="9"/>
          </reference>
          <reference field="1" count="1" selected="0">
            <x v="28"/>
          </reference>
          <reference field="12" count="1">
            <x v="38"/>
          </reference>
        </references>
      </pivotArea>
    </format>
    <format dxfId="3936">
      <pivotArea dataOnly="0" labelOnly="1" fieldPosition="0">
        <references count="3">
          <reference field="0" count="1" selected="0">
            <x v="10"/>
          </reference>
          <reference field="1" count="1" selected="0">
            <x v="41"/>
          </reference>
          <reference field="12" count="1">
            <x v="23"/>
          </reference>
        </references>
      </pivotArea>
    </format>
    <format dxfId="3935">
      <pivotArea dataOnly="0" labelOnly="1" fieldPosition="0">
        <references count="3">
          <reference field="0" count="1" selected="0">
            <x v="11"/>
          </reference>
          <reference field="1" count="1" selected="0">
            <x v="29"/>
          </reference>
          <reference field="12" count="1">
            <x v="49"/>
          </reference>
        </references>
      </pivotArea>
    </format>
    <format dxfId="3934">
      <pivotArea dataOnly="0" labelOnly="1" fieldPosition="0">
        <references count="3">
          <reference field="0" count="1" selected="0">
            <x v="12"/>
          </reference>
          <reference field="1" count="1" selected="0">
            <x v="36"/>
          </reference>
          <reference field="12" count="1">
            <x v="37"/>
          </reference>
        </references>
      </pivotArea>
    </format>
    <format dxfId="3933">
      <pivotArea dataOnly="0" labelOnly="1" fieldPosition="0">
        <references count="3">
          <reference field="0" count="1" selected="0">
            <x v="13"/>
          </reference>
          <reference field="1" count="1" selected="0">
            <x v="11"/>
          </reference>
          <reference field="12" count="1">
            <x v="47"/>
          </reference>
        </references>
      </pivotArea>
    </format>
    <format dxfId="3932">
      <pivotArea dataOnly="0" labelOnly="1" fieldPosition="0">
        <references count="3">
          <reference field="0" count="1" selected="0">
            <x v="14"/>
          </reference>
          <reference field="1" count="1" selected="0">
            <x v="40"/>
          </reference>
          <reference field="12" count="1">
            <x v="36"/>
          </reference>
        </references>
      </pivotArea>
    </format>
    <format dxfId="3931">
      <pivotArea dataOnly="0" labelOnly="1" fieldPosition="0">
        <references count="3">
          <reference field="0" count="1" selected="0">
            <x v="15"/>
          </reference>
          <reference field="1" count="1" selected="0">
            <x v="12"/>
          </reference>
          <reference field="12" count="1">
            <x v="4"/>
          </reference>
        </references>
      </pivotArea>
    </format>
    <format dxfId="3930">
      <pivotArea dataOnly="0" labelOnly="1" fieldPosition="0">
        <references count="3">
          <reference field="0" count="1" selected="0">
            <x v="16"/>
          </reference>
          <reference field="1" count="1" selected="0">
            <x v="13"/>
          </reference>
          <reference field="12" count="1">
            <x v="42"/>
          </reference>
        </references>
      </pivotArea>
    </format>
    <format dxfId="3929">
      <pivotArea dataOnly="0" labelOnly="1" fieldPosition="0">
        <references count="3">
          <reference field="0" count="1" selected="0">
            <x v="17"/>
          </reference>
          <reference field="1" count="1" selected="0">
            <x v="14"/>
          </reference>
          <reference field="12" count="1">
            <x v="44"/>
          </reference>
        </references>
      </pivotArea>
    </format>
    <format dxfId="3928">
      <pivotArea dataOnly="0" labelOnly="1" fieldPosition="0">
        <references count="3">
          <reference field="0" count="1" selected="0">
            <x v="18"/>
          </reference>
          <reference field="1" count="1" selected="0">
            <x v="2"/>
          </reference>
          <reference field="12" count="1">
            <x v="31"/>
          </reference>
        </references>
      </pivotArea>
    </format>
    <format dxfId="3927">
      <pivotArea dataOnly="0" labelOnly="1" fieldPosition="0">
        <references count="3">
          <reference field="0" count="1" selected="0">
            <x v="19"/>
          </reference>
          <reference field="1" count="1" selected="0">
            <x v="24"/>
          </reference>
          <reference field="12" count="1">
            <x v="12"/>
          </reference>
        </references>
      </pivotArea>
    </format>
    <format dxfId="3926">
      <pivotArea dataOnly="0" labelOnly="1" fieldPosition="0">
        <references count="3">
          <reference field="0" count="1" selected="0">
            <x v="20"/>
          </reference>
          <reference field="1" count="1" selected="0">
            <x v="25"/>
          </reference>
          <reference field="12" count="1">
            <x v="35"/>
          </reference>
        </references>
      </pivotArea>
    </format>
    <format dxfId="3925">
      <pivotArea dataOnly="0" labelOnly="1" fieldPosition="0">
        <references count="3">
          <reference field="0" count="1" selected="0">
            <x v="21"/>
          </reference>
          <reference field="1" count="1" selected="0">
            <x v="1"/>
          </reference>
          <reference field="12" count="1">
            <x v="25"/>
          </reference>
        </references>
      </pivotArea>
    </format>
    <format dxfId="3924">
      <pivotArea dataOnly="0" labelOnly="1" fieldPosition="0">
        <references count="3">
          <reference field="0" count="1" selected="0">
            <x v="22"/>
          </reference>
          <reference field="1" count="1" selected="0">
            <x v="4"/>
          </reference>
          <reference field="12" count="1">
            <x v="46"/>
          </reference>
        </references>
      </pivotArea>
    </format>
    <format dxfId="3923">
      <pivotArea dataOnly="0" labelOnly="1" fieldPosition="0">
        <references count="3">
          <reference field="0" count="1" selected="0">
            <x v="23"/>
          </reference>
          <reference field="1" count="1" selected="0">
            <x v="5"/>
          </reference>
          <reference field="12" count="1">
            <x v="3"/>
          </reference>
        </references>
      </pivotArea>
    </format>
    <format dxfId="3922">
      <pivotArea dataOnly="0" labelOnly="1" fieldPosition="0">
        <references count="3">
          <reference field="0" count="1" selected="0">
            <x v="24"/>
          </reference>
          <reference field="1" count="1" selected="0">
            <x v="6"/>
          </reference>
          <reference field="12" count="1">
            <x v="1"/>
          </reference>
        </references>
      </pivotArea>
    </format>
    <format dxfId="3921">
      <pivotArea dataOnly="0" labelOnly="1" fieldPosition="0">
        <references count="3">
          <reference field="0" count="1" selected="0">
            <x v="25"/>
          </reference>
          <reference field="1" count="1" selected="0">
            <x v="35"/>
          </reference>
          <reference field="12" count="1">
            <x v="34"/>
          </reference>
        </references>
      </pivotArea>
    </format>
    <format dxfId="3920">
      <pivotArea dataOnly="0" labelOnly="1" fieldPosition="0">
        <references count="3">
          <reference field="0" count="1" selected="0">
            <x v="26"/>
          </reference>
          <reference field="1" count="1" selected="0">
            <x v="9"/>
          </reference>
          <reference field="12" count="1">
            <x v="48"/>
          </reference>
        </references>
      </pivotArea>
    </format>
    <format dxfId="3919">
      <pivotArea dataOnly="0" labelOnly="1" fieldPosition="0">
        <references count="3">
          <reference field="0" count="1" selected="0">
            <x v="27"/>
          </reference>
          <reference field="1" count="1" selected="0">
            <x v="10"/>
          </reference>
          <reference field="12" count="1">
            <x v="14"/>
          </reference>
        </references>
      </pivotArea>
    </format>
    <format dxfId="3918">
      <pivotArea dataOnly="0" labelOnly="1" fieldPosition="0">
        <references count="3">
          <reference field="0" count="1" selected="0">
            <x v="28"/>
          </reference>
          <reference field="1" count="1" selected="0">
            <x v="39"/>
          </reference>
          <reference field="12" count="1">
            <x v="32"/>
          </reference>
        </references>
      </pivotArea>
    </format>
    <format dxfId="3917">
      <pivotArea dataOnly="0" labelOnly="1" fieldPosition="0">
        <references count="3">
          <reference field="0" count="1" selected="0">
            <x v="29"/>
          </reference>
          <reference field="1" count="1" selected="0">
            <x v="23"/>
          </reference>
          <reference field="12" count="1">
            <x v="22"/>
          </reference>
        </references>
      </pivotArea>
    </format>
    <format dxfId="3916">
      <pivotArea dataOnly="0" labelOnly="1" fieldPosition="0">
        <references count="3">
          <reference field="0" count="1" selected="0">
            <x v="30"/>
          </reference>
          <reference field="1" count="1" selected="0">
            <x v="22"/>
          </reference>
          <reference field="12" count="1">
            <x v="8"/>
          </reference>
        </references>
      </pivotArea>
    </format>
    <format dxfId="3915">
      <pivotArea dataOnly="0" labelOnly="1" fieldPosition="0">
        <references count="3">
          <reference field="0" count="1" selected="0">
            <x v="31"/>
          </reference>
          <reference field="1" count="1" selected="0">
            <x v="21"/>
          </reference>
          <reference field="12" count="1">
            <x v="6"/>
          </reference>
        </references>
      </pivotArea>
    </format>
    <format dxfId="3914">
      <pivotArea dataOnly="0" labelOnly="1" fieldPosition="0">
        <references count="3">
          <reference field="0" count="1" selected="0">
            <x v="32"/>
          </reference>
          <reference field="1" count="1" selected="0">
            <x v="19"/>
          </reference>
          <reference field="12" count="1">
            <x v="45"/>
          </reference>
        </references>
      </pivotArea>
    </format>
    <format dxfId="3913">
      <pivotArea dataOnly="0" labelOnly="1" fieldPosition="0">
        <references count="3">
          <reference field="0" count="1" selected="0">
            <x v="33"/>
          </reference>
          <reference field="1" count="1" selected="0">
            <x v="20"/>
          </reference>
          <reference field="12" count="1">
            <x v="17"/>
          </reference>
        </references>
      </pivotArea>
    </format>
    <format dxfId="3912">
      <pivotArea dataOnly="0" labelOnly="1" fieldPosition="0">
        <references count="3">
          <reference field="0" count="1" selected="0">
            <x v="34"/>
          </reference>
          <reference field="1" count="1" selected="0">
            <x v="16"/>
          </reference>
          <reference field="12" count="1">
            <x v="16"/>
          </reference>
        </references>
      </pivotArea>
    </format>
    <format dxfId="3911">
      <pivotArea dataOnly="0" labelOnly="1" fieldPosition="0">
        <references count="3">
          <reference field="0" count="1" selected="0">
            <x v="35"/>
          </reference>
          <reference field="1" count="1" selected="0">
            <x v="17"/>
          </reference>
          <reference field="12" count="1">
            <x v="15"/>
          </reference>
        </references>
      </pivotArea>
    </format>
    <format dxfId="3910">
      <pivotArea dataOnly="0" labelOnly="1" fieldPosition="0">
        <references count="3">
          <reference field="0" count="1" selected="0">
            <x v="36"/>
          </reference>
          <reference field="1" count="1" selected="0">
            <x v="15"/>
          </reference>
          <reference field="12" count="1">
            <x v="20"/>
          </reference>
        </references>
      </pivotArea>
    </format>
    <format dxfId="3909">
      <pivotArea dataOnly="0" labelOnly="1" fieldPosition="0">
        <references count="3">
          <reference field="0" count="1" selected="0">
            <x v="37"/>
          </reference>
          <reference field="1" count="1" selected="0">
            <x v="18"/>
          </reference>
          <reference field="12" count="1">
            <x v="13"/>
          </reference>
        </references>
      </pivotArea>
    </format>
    <format dxfId="3908">
      <pivotArea dataOnly="0" labelOnly="1" fieldPosition="0">
        <references count="3">
          <reference field="0" count="1" selected="0">
            <x v="38"/>
          </reference>
          <reference field="1" count="1" selected="0">
            <x v="44"/>
          </reference>
          <reference field="12" count="1">
            <x v="43"/>
          </reference>
        </references>
      </pivotArea>
    </format>
    <format dxfId="3907">
      <pivotArea dataOnly="0" labelOnly="1" fieldPosition="0">
        <references count="3">
          <reference field="0" count="1" selected="0">
            <x v="39"/>
          </reference>
          <reference field="1" count="1" selected="0">
            <x v="43"/>
          </reference>
          <reference field="12" count="1">
            <x v="28"/>
          </reference>
        </references>
      </pivotArea>
    </format>
    <format dxfId="3906">
      <pivotArea dataOnly="0" labelOnly="1" fieldPosition="0">
        <references count="3">
          <reference field="0" count="1" selected="0">
            <x v="40"/>
          </reference>
          <reference field="1" count="1" selected="0">
            <x v="49"/>
          </reference>
          <reference field="12" count="1">
            <x v="24"/>
          </reference>
        </references>
      </pivotArea>
    </format>
    <format dxfId="3905">
      <pivotArea dataOnly="0" labelOnly="1" fieldPosition="0">
        <references count="3">
          <reference field="0" count="1" selected="0">
            <x v="41"/>
          </reference>
          <reference field="1" count="1" selected="0">
            <x v="46"/>
          </reference>
          <reference field="12" count="1">
            <x v="11"/>
          </reference>
        </references>
      </pivotArea>
    </format>
    <format dxfId="3904">
      <pivotArea dataOnly="0" labelOnly="1" fieldPosition="0">
        <references count="3">
          <reference field="0" count="1" selected="0">
            <x v="42"/>
          </reference>
          <reference field="1" count="1" selected="0">
            <x v="48"/>
          </reference>
          <reference field="12" count="1">
            <x v="2"/>
          </reference>
        </references>
      </pivotArea>
    </format>
    <format dxfId="3903">
      <pivotArea dataOnly="0" labelOnly="1" fieldPosition="0">
        <references count="3">
          <reference field="0" count="1" selected="0">
            <x v="43"/>
          </reference>
          <reference field="1" count="1" selected="0">
            <x v="47"/>
          </reference>
          <reference field="12" count="1">
            <x v="21"/>
          </reference>
        </references>
      </pivotArea>
    </format>
    <format dxfId="3902">
      <pivotArea dataOnly="0" labelOnly="1" fieldPosition="0">
        <references count="3">
          <reference field="0" count="1" selected="0">
            <x v="44"/>
          </reference>
          <reference field="1" count="1" selected="0">
            <x v="37"/>
          </reference>
          <reference field="12" count="1">
            <x v="29"/>
          </reference>
        </references>
      </pivotArea>
    </format>
    <format dxfId="3901">
      <pivotArea dataOnly="0" labelOnly="1" fieldPosition="0">
        <references count="3">
          <reference field="0" count="1" selected="0">
            <x v="45"/>
          </reference>
          <reference field="1" count="1" selected="0">
            <x v="0"/>
          </reference>
          <reference field="12" count="1">
            <x v="27"/>
          </reference>
        </references>
      </pivotArea>
    </format>
    <format dxfId="3900">
      <pivotArea dataOnly="0" labelOnly="1" fieldPosition="0">
        <references count="3">
          <reference field="0" count="1" selected="0">
            <x v="46"/>
          </reference>
          <reference field="1" count="1" selected="0">
            <x v="38"/>
          </reference>
          <reference field="12" count="1">
            <x v="33"/>
          </reference>
        </references>
      </pivotArea>
    </format>
    <format dxfId="3899">
      <pivotArea dataOnly="0" labelOnly="1" fieldPosition="0">
        <references count="3">
          <reference field="0" count="1" selected="0">
            <x v="47"/>
          </reference>
          <reference field="1" count="1" selected="0">
            <x v="7"/>
          </reference>
          <reference field="12" count="1">
            <x v="40"/>
          </reference>
        </references>
      </pivotArea>
    </format>
    <format dxfId="3898">
      <pivotArea dataOnly="0" labelOnly="1" fieldPosition="0">
        <references count="3">
          <reference field="0" count="1" selected="0">
            <x v="48"/>
          </reference>
          <reference field="1" count="1" selected="0">
            <x v="8"/>
          </reference>
          <reference field="12" count="1">
            <x v="26"/>
          </reference>
        </references>
      </pivotArea>
    </format>
    <format dxfId="3897">
      <pivotArea dataOnly="0" labelOnly="1" fieldPosition="0">
        <references count="3">
          <reference field="0" count="1" selected="0">
            <x v="49"/>
          </reference>
          <reference field="1" count="1" selected="0">
            <x v="42"/>
          </reference>
          <reference field="12" count="1">
            <x v="39"/>
          </reference>
        </references>
      </pivotArea>
    </format>
    <format dxfId="3896">
      <pivotArea dataOnly="0" labelOnly="1" fieldPosition="0">
        <references count="4">
          <reference field="0" count="1" selected="0">
            <x v="0"/>
          </reference>
          <reference field="1" count="1" selected="0">
            <x v="32"/>
          </reference>
          <reference field="8" count="1">
            <x v="0"/>
          </reference>
          <reference field="12" count="1" selected="0">
            <x v="0"/>
          </reference>
        </references>
      </pivotArea>
    </format>
    <format dxfId="3895">
      <pivotArea dataOnly="0" labelOnly="1" fieldPosition="0">
        <references count="4">
          <reference field="0" count="1" selected="0">
            <x v="1"/>
          </reference>
          <reference field="1" count="1" selected="0">
            <x v="33"/>
          </reference>
          <reference field="8" count="1">
            <x v="0"/>
          </reference>
          <reference field="12" count="1" selected="0">
            <x v="18"/>
          </reference>
        </references>
      </pivotArea>
    </format>
    <format dxfId="3894">
      <pivotArea dataOnly="0" labelOnly="1" fieldPosition="0">
        <references count="4">
          <reference field="0" count="1" selected="0">
            <x v="2"/>
          </reference>
          <reference field="1" count="1" selected="0">
            <x v="45"/>
          </reference>
          <reference field="8" count="1">
            <x v="1"/>
          </reference>
          <reference field="12" count="1" selected="0">
            <x v="10"/>
          </reference>
        </references>
      </pivotArea>
    </format>
    <format dxfId="3893">
      <pivotArea dataOnly="0" labelOnly="1" fieldPosition="0">
        <references count="4">
          <reference field="0" count="1" selected="0">
            <x v="3"/>
          </reference>
          <reference field="1" count="1" selected="0">
            <x v="34"/>
          </reference>
          <reference field="8" count="1">
            <x v="0"/>
          </reference>
          <reference field="12" count="1" selected="0">
            <x v="7"/>
          </reference>
        </references>
      </pivotArea>
    </format>
    <format dxfId="3892">
      <pivotArea dataOnly="0" labelOnly="1" fieldPosition="0">
        <references count="4">
          <reference field="0" count="1" selected="0">
            <x v="4"/>
          </reference>
          <reference field="1" count="1" selected="0">
            <x v="3"/>
          </reference>
          <reference field="8" count="1">
            <x v="1"/>
          </reference>
          <reference field="12" count="1" selected="0">
            <x v="5"/>
          </reference>
        </references>
      </pivotArea>
    </format>
    <format dxfId="3891">
      <pivotArea dataOnly="0" labelOnly="1" fieldPosition="0">
        <references count="4">
          <reference field="0" count="1" selected="0">
            <x v="5"/>
          </reference>
          <reference field="1" count="1" selected="0">
            <x v="26"/>
          </reference>
          <reference field="8" count="1">
            <x v="1"/>
          </reference>
          <reference field="12" count="1" selected="0">
            <x v="19"/>
          </reference>
        </references>
      </pivotArea>
    </format>
    <format dxfId="3890">
      <pivotArea dataOnly="0" labelOnly="1" fieldPosition="0">
        <references count="4">
          <reference field="0" count="1" selected="0">
            <x v="6"/>
          </reference>
          <reference field="1" count="1" selected="0">
            <x v="31"/>
          </reference>
          <reference field="8" count="1">
            <x v="0"/>
          </reference>
          <reference field="12" count="1" selected="0">
            <x v="9"/>
          </reference>
        </references>
      </pivotArea>
    </format>
    <format dxfId="3889">
      <pivotArea dataOnly="0" labelOnly="1" fieldPosition="0">
        <references count="4">
          <reference field="0" count="1" selected="0">
            <x v="7"/>
          </reference>
          <reference field="1" count="1" selected="0">
            <x v="27"/>
          </reference>
          <reference field="8" count="1">
            <x v="1"/>
          </reference>
          <reference field="12" count="1" selected="0">
            <x v="30"/>
          </reference>
        </references>
      </pivotArea>
    </format>
    <format dxfId="3888">
      <pivotArea dataOnly="0" labelOnly="1" fieldPosition="0">
        <references count="4">
          <reference field="0" count="1" selected="0">
            <x v="8"/>
          </reference>
          <reference field="1" count="1" selected="0">
            <x v="30"/>
          </reference>
          <reference field="8" count="1">
            <x v="0"/>
          </reference>
          <reference field="12" count="1" selected="0">
            <x v="41"/>
          </reference>
        </references>
      </pivotArea>
    </format>
    <format dxfId="3887">
      <pivotArea dataOnly="0" labelOnly="1" fieldPosition="0">
        <references count="4">
          <reference field="0" count="1" selected="0">
            <x v="9"/>
          </reference>
          <reference field="1" count="1" selected="0">
            <x v="28"/>
          </reference>
          <reference field="8" count="1">
            <x v="1"/>
          </reference>
          <reference field="12" count="1" selected="0">
            <x v="38"/>
          </reference>
        </references>
      </pivotArea>
    </format>
    <format dxfId="3886">
      <pivotArea dataOnly="0" labelOnly="1" fieldPosition="0">
        <references count="4">
          <reference field="0" count="1" selected="0">
            <x v="10"/>
          </reference>
          <reference field="1" count="1" selected="0">
            <x v="41"/>
          </reference>
          <reference field="8" count="1">
            <x v="1"/>
          </reference>
          <reference field="12" count="1" selected="0">
            <x v="23"/>
          </reference>
        </references>
      </pivotArea>
    </format>
    <format dxfId="3885">
      <pivotArea dataOnly="0" labelOnly="1" fieldPosition="0">
        <references count="4">
          <reference field="0" count="1" selected="0">
            <x v="11"/>
          </reference>
          <reference field="1" count="1" selected="0">
            <x v="29"/>
          </reference>
          <reference field="8" count="1">
            <x v="0"/>
          </reference>
          <reference field="12" count="1" selected="0">
            <x v="49"/>
          </reference>
        </references>
      </pivotArea>
    </format>
    <format dxfId="3884">
      <pivotArea dataOnly="0" labelOnly="1" fieldPosition="0">
        <references count="4">
          <reference field="0" count="1" selected="0">
            <x v="12"/>
          </reference>
          <reference field="1" count="1" selected="0">
            <x v="36"/>
          </reference>
          <reference field="8" count="1">
            <x v="0"/>
          </reference>
          <reference field="12" count="1" selected="0">
            <x v="37"/>
          </reference>
        </references>
      </pivotArea>
    </format>
    <format dxfId="3883">
      <pivotArea dataOnly="0" labelOnly="1" fieldPosition="0">
        <references count="4">
          <reference field="0" count="1" selected="0">
            <x v="13"/>
          </reference>
          <reference field="1" count="1" selected="0">
            <x v="11"/>
          </reference>
          <reference field="8" count="1">
            <x v="1"/>
          </reference>
          <reference field="12" count="1" selected="0">
            <x v="47"/>
          </reference>
        </references>
      </pivotArea>
    </format>
    <format dxfId="3882">
      <pivotArea dataOnly="0" labelOnly="1" fieldPosition="0">
        <references count="4">
          <reference field="0" count="1" selected="0">
            <x v="14"/>
          </reference>
          <reference field="1" count="1" selected="0">
            <x v="40"/>
          </reference>
          <reference field="8" count="1">
            <x v="0"/>
          </reference>
          <reference field="12" count="1" selected="0">
            <x v="36"/>
          </reference>
        </references>
      </pivotArea>
    </format>
    <format dxfId="3881">
      <pivotArea dataOnly="0" labelOnly="1" fieldPosition="0">
        <references count="4">
          <reference field="0" count="1" selected="0">
            <x v="15"/>
          </reference>
          <reference field="1" count="1" selected="0">
            <x v="12"/>
          </reference>
          <reference field="8" count="1">
            <x v="1"/>
          </reference>
          <reference field="12" count="1" selected="0">
            <x v="4"/>
          </reference>
        </references>
      </pivotArea>
    </format>
    <format dxfId="3880">
      <pivotArea dataOnly="0" labelOnly="1" fieldPosition="0">
        <references count="4">
          <reference field="0" count="1" selected="0">
            <x v="16"/>
          </reference>
          <reference field="1" count="1" selected="0">
            <x v="13"/>
          </reference>
          <reference field="8" count="1">
            <x v="1"/>
          </reference>
          <reference field="12" count="1" selected="0">
            <x v="42"/>
          </reference>
        </references>
      </pivotArea>
    </format>
    <format dxfId="3879">
      <pivotArea dataOnly="0" labelOnly="1" fieldPosition="0">
        <references count="4">
          <reference field="0" count="1" selected="0">
            <x v="17"/>
          </reference>
          <reference field="1" count="1" selected="0">
            <x v="14"/>
          </reference>
          <reference field="8" count="1">
            <x v="1"/>
          </reference>
          <reference field="12" count="1" selected="0">
            <x v="44"/>
          </reference>
        </references>
      </pivotArea>
    </format>
    <format dxfId="3878">
      <pivotArea dataOnly="0" labelOnly="1" fieldPosition="0">
        <references count="4">
          <reference field="0" count="1" selected="0">
            <x v="18"/>
          </reference>
          <reference field="1" count="1" selected="0">
            <x v="2"/>
          </reference>
          <reference field="8" count="1">
            <x v="0"/>
          </reference>
          <reference field="12" count="1" selected="0">
            <x v="31"/>
          </reference>
        </references>
      </pivotArea>
    </format>
    <format dxfId="3877">
      <pivotArea dataOnly="0" labelOnly="1" fieldPosition="0">
        <references count="4">
          <reference field="0" count="1" selected="0">
            <x v="19"/>
          </reference>
          <reference field="1" count="1" selected="0">
            <x v="24"/>
          </reference>
          <reference field="8" count="1">
            <x v="1"/>
          </reference>
          <reference field="12" count="1" selected="0">
            <x v="12"/>
          </reference>
        </references>
      </pivotArea>
    </format>
    <format dxfId="3876">
      <pivotArea dataOnly="0" labelOnly="1" fieldPosition="0">
        <references count="4">
          <reference field="0" count="1" selected="0">
            <x v="20"/>
          </reference>
          <reference field="1" count="1" selected="0">
            <x v="25"/>
          </reference>
          <reference field="8" count="1">
            <x v="1"/>
          </reference>
          <reference field="12" count="1" selected="0">
            <x v="35"/>
          </reference>
        </references>
      </pivotArea>
    </format>
    <format dxfId="3875">
      <pivotArea dataOnly="0" labelOnly="1" fieldPosition="0">
        <references count="4">
          <reference field="0" count="1" selected="0">
            <x v="21"/>
          </reference>
          <reference field="1" count="1" selected="0">
            <x v="1"/>
          </reference>
          <reference field="8" count="1">
            <x v="0"/>
          </reference>
          <reference field="12" count="1" selected="0">
            <x v="25"/>
          </reference>
        </references>
      </pivotArea>
    </format>
    <format dxfId="3874">
      <pivotArea dataOnly="0" labelOnly="1" fieldPosition="0">
        <references count="4">
          <reference field="0" count="1" selected="0">
            <x v="22"/>
          </reference>
          <reference field="1" count="1" selected="0">
            <x v="4"/>
          </reference>
          <reference field="8" count="1">
            <x v="0"/>
          </reference>
          <reference field="12" count="1" selected="0">
            <x v="46"/>
          </reference>
        </references>
      </pivotArea>
    </format>
    <format dxfId="3873">
      <pivotArea dataOnly="0" labelOnly="1" fieldPosition="0">
        <references count="4">
          <reference field="0" count="1" selected="0">
            <x v="23"/>
          </reference>
          <reference field="1" count="1" selected="0">
            <x v="5"/>
          </reference>
          <reference field="8" count="1">
            <x v="0"/>
          </reference>
          <reference field="12" count="1" selected="0">
            <x v="3"/>
          </reference>
        </references>
      </pivotArea>
    </format>
    <format dxfId="3872">
      <pivotArea dataOnly="0" labelOnly="1" fieldPosition="0">
        <references count="4">
          <reference field="0" count="1" selected="0">
            <x v="24"/>
          </reference>
          <reference field="1" count="1" selected="0">
            <x v="6"/>
          </reference>
          <reference field="8" count="1">
            <x v="0"/>
          </reference>
          <reference field="12" count="1" selected="0">
            <x v="1"/>
          </reference>
        </references>
      </pivotArea>
    </format>
    <format dxfId="3871">
      <pivotArea dataOnly="0" labelOnly="1" fieldPosition="0">
        <references count="4">
          <reference field="0" count="1" selected="0">
            <x v="25"/>
          </reference>
          <reference field="1" count="1" selected="0">
            <x v="35"/>
          </reference>
          <reference field="8" count="1">
            <x v="0"/>
          </reference>
          <reference field="12" count="1" selected="0">
            <x v="34"/>
          </reference>
        </references>
      </pivotArea>
    </format>
    <format dxfId="3870">
      <pivotArea dataOnly="0" labelOnly="1" fieldPosition="0">
        <references count="4">
          <reference field="0" count="1" selected="0">
            <x v="26"/>
          </reference>
          <reference field="1" count="1" selected="0">
            <x v="9"/>
          </reference>
          <reference field="8" count="1">
            <x v="1"/>
          </reference>
          <reference field="12" count="1" selected="0">
            <x v="48"/>
          </reference>
        </references>
      </pivotArea>
    </format>
    <format dxfId="3869">
      <pivotArea dataOnly="0" labelOnly="1" fieldPosition="0">
        <references count="4">
          <reference field="0" count="1" selected="0">
            <x v="27"/>
          </reference>
          <reference field="1" count="1" selected="0">
            <x v="10"/>
          </reference>
          <reference field="8" count="1">
            <x v="1"/>
          </reference>
          <reference field="12" count="1" selected="0">
            <x v="14"/>
          </reference>
        </references>
      </pivotArea>
    </format>
    <format dxfId="3868">
      <pivotArea dataOnly="0" labelOnly="1" fieldPosition="0">
        <references count="4">
          <reference field="0" count="1" selected="0">
            <x v="28"/>
          </reference>
          <reference field="1" count="1" selected="0">
            <x v="39"/>
          </reference>
          <reference field="8" count="1">
            <x v="0"/>
          </reference>
          <reference field="12" count="1" selected="0">
            <x v="32"/>
          </reference>
        </references>
      </pivotArea>
    </format>
    <format dxfId="3867">
      <pivotArea dataOnly="0" labelOnly="1" fieldPosition="0">
        <references count="4">
          <reference field="0" count="1" selected="0">
            <x v="29"/>
          </reference>
          <reference field="1" count="1" selected="0">
            <x v="23"/>
          </reference>
          <reference field="8" count="1">
            <x v="0"/>
          </reference>
          <reference field="12" count="1" selected="0">
            <x v="22"/>
          </reference>
        </references>
      </pivotArea>
    </format>
    <format dxfId="3866">
      <pivotArea dataOnly="0" labelOnly="1" fieldPosition="0">
        <references count="4">
          <reference field="0" count="1" selected="0">
            <x v="30"/>
          </reference>
          <reference field="1" count="1" selected="0">
            <x v="22"/>
          </reference>
          <reference field="8" count="1">
            <x v="0"/>
          </reference>
          <reference field="12" count="1" selected="0">
            <x v="8"/>
          </reference>
        </references>
      </pivotArea>
    </format>
    <format dxfId="3865">
      <pivotArea dataOnly="0" labelOnly="1" fieldPosition="0">
        <references count="4">
          <reference field="0" count="1" selected="0">
            <x v="31"/>
          </reference>
          <reference field="1" count="1" selected="0">
            <x v="21"/>
          </reference>
          <reference field="8" count="1">
            <x v="0"/>
          </reference>
          <reference field="12" count="1" selected="0">
            <x v="6"/>
          </reference>
        </references>
      </pivotArea>
    </format>
    <format dxfId="3864">
      <pivotArea dataOnly="0" labelOnly="1" fieldPosition="0">
        <references count="4">
          <reference field="0" count="1" selected="0">
            <x v="32"/>
          </reference>
          <reference field="1" count="1" selected="0">
            <x v="19"/>
          </reference>
          <reference field="8" count="1">
            <x v="1"/>
          </reference>
          <reference field="12" count="1" selected="0">
            <x v="45"/>
          </reference>
        </references>
      </pivotArea>
    </format>
    <format dxfId="3863">
      <pivotArea dataOnly="0" labelOnly="1" fieldPosition="0">
        <references count="4">
          <reference field="0" count="1" selected="0">
            <x v="33"/>
          </reference>
          <reference field="1" count="1" selected="0">
            <x v="20"/>
          </reference>
          <reference field="8" count="1">
            <x v="1"/>
          </reference>
          <reference field="12" count="1" selected="0">
            <x v="17"/>
          </reference>
        </references>
      </pivotArea>
    </format>
    <format dxfId="3862">
      <pivotArea dataOnly="0" labelOnly="1" fieldPosition="0">
        <references count="4">
          <reference field="0" count="1" selected="0">
            <x v="34"/>
          </reference>
          <reference field="1" count="1" selected="0">
            <x v="16"/>
          </reference>
          <reference field="8" count="1">
            <x v="1"/>
          </reference>
          <reference field="12" count="1" selected="0">
            <x v="16"/>
          </reference>
        </references>
      </pivotArea>
    </format>
    <format dxfId="3861">
      <pivotArea dataOnly="0" labelOnly="1" fieldPosition="0">
        <references count="4">
          <reference field="0" count="1" selected="0">
            <x v="35"/>
          </reference>
          <reference field="1" count="1" selected="0">
            <x v="17"/>
          </reference>
          <reference field="8" count="1">
            <x v="1"/>
          </reference>
          <reference field="12" count="1" selected="0">
            <x v="15"/>
          </reference>
        </references>
      </pivotArea>
    </format>
    <format dxfId="3860">
      <pivotArea dataOnly="0" labelOnly="1" fieldPosition="0">
        <references count="4">
          <reference field="0" count="1" selected="0">
            <x v="36"/>
          </reference>
          <reference field="1" count="1" selected="0">
            <x v="15"/>
          </reference>
          <reference field="8" count="1">
            <x v="1"/>
          </reference>
          <reference field="12" count="1" selected="0">
            <x v="20"/>
          </reference>
        </references>
      </pivotArea>
    </format>
    <format dxfId="3859">
      <pivotArea dataOnly="0" labelOnly="1" fieldPosition="0">
        <references count="4">
          <reference field="0" count="1" selected="0">
            <x v="37"/>
          </reference>
          <reference field="1" count="1" selected="0">
            <x v="18"/>
          </reference>
          <reference field="8" count="1">
            <x v="1"/>
          </reference>
          <reference field="12" count="1" selected="0">
            <x v="13"/>
          </reference>
        </references>
      </pivotArea>
    </format>
    <format dxfId="3858">
      <pivotArea dataOnly="0" labelOnly="1" fieldPosition="0">
        <references count="4">
          <reference field="0" count="1" selected="0">
            <x v="38"/>
          </reference>
          <reference field="1" count="1" selected="0">
            <x v="44"/>
          </reference>
          <reference field="8" count="1">
            <x v="1"/>
          </reference>
          <reference field="12" count="1" selected="0">
            <x v="43"/>
          </reference>
        </references>
      </pivotArea>
    </format>
    <format dxfId="3857">
      <pivotArea dataOnly="0" labelOnly="1" fieldPosition="0">
        <references count="4">
          <reference field="0" count="1" selected="0">
            <x v="39"/>
          </reference>
          <reference field="1" count="1" selected="0">
            <x v="43"/>
          </reference>
          <reference field="8" count="1">
            <x v="1"/>
          </reference>
          <reference field="12" count="1" selected="0">
            <x v="28"/>
          </reference>
        </references>
      </pivotArea>
    </format>
    <format dxfId="3856">
      <pivotArea dataOnly="0" labelOnly="1" fieldPosition="0">
        <references count="4">
          <reference field="0" count="1" selected="0">
            <x v="40"/>
          </reference>
          <reference field="1" count="1" selected="0">
            <x v="49"/>
          </reference>
          <reference field="8" count="1">
            <x v="0"/>
          </reference>
          <reference field="12" count="1" selected="0">
            <x v="24"/>
          </reference>
        </references>
      </pivotArea>
    </format>
    <format dxfId="3855">
      <pivotArea dataOnly="0" labelOnly="1" fieldPosition="0">
        <references count="4">
          <reference field="0" count="1" selected="0">
            <x v="41"/>
          </reference>
          <reference field="1" count="1" selected="0">
            <x v="46"/>
          </reference>
          <reference field="8" count="1">
            <x v="0"/>
          </reference>
          <reference field="12" count="1" selected="0">
            <x v="11"/>
          </reference>
        </references>
      </pivotArea>
    </format>
    <format dxfId="3854">
      <pivotArea dataOnly="0" labelOnly="1" fieldPosition="0">
        <references count="4">
          <reference field="0" count="1" selected="0">
            <x v="42"/>
          </reference>
          <reference field="1" count="1" selected="0">
            <x v="48"/>
          </reference>
          <reference field="8" count="1">
            <x v="0"/>
          </reference>
          <reference field="12" count="1" selected="0">
            <x v="2"/>
          </reference>
        </references>
      </pivotArea>
    </format>
    <format dxfId="3853">
      <pivotArea dataOnly="0" labelOnly="1" fieldPosition="0">
        <references count="4">
          <reference field="0" count="1" selected="0">
            <x v="43"/>
          </reference>
          <reference field="1" count="1" selected="0">
            <x v="47"/>
          </reference>
          <reference field="8" count="1">
            <x v="0"/>
          </reference>
          <reference field="12" count="1" selected="0">
            <x v="21"/>
          </reference>
        </references>
      </pivotArea>
    </format>
    <format dxfId="3852">
      <pivotArea dataOnly="0" labelOnly="1" fieldPosition="0">
        <references count="4">
          <reference field="0" count="1" selected="0">
            <x v="44"/>
          </reference>
          <reference field="1" count="1" selected="0">
            <x v="37"/>
          </reference>
          <reference field="8" count="1">
            <x v="0"/>
          </reference>
          <reference field="12" count="1" selected="0">
            <x v="29"/>
          </reference>
        </references>
      </pivotArea>
    </format>
    <format dxfId="3851">
      <pivotArea dataOnly="0" labelOnly="1" fieldPosition="0">
        <references count="4">
          <reference field="0" count="1" selected="0">
            <x v="45"/>
          </reference>
          <reference field="1" count="1" selected="0">
            <x v="0"/>
          </reference>
          <reference field="8" count="1">
            <x v="1"/>
          </reference>
          <reference field="12" count="1" selected="0">
            <x v="27"/>
          </reference>
        </references>
      </pivotArea>
    </format>
    <format dxfId="3850">
      <pivotArea dataOnly="0" labelOnly="1" fieldPosition="0">
        <references count="4">
          <reference field="0" count="1" selected="0">
            <x v="46"/>
          </reference>
          <reference field="1" count="1" selected="0">
            <x v="38"/>
          </reference>
          <reference field="8" count="1">
            <x v="0"/>
          </reference>
          <reference field="12" count="1" selected="0">
            <x v="33"/>
          </reference>
        </references>
      </pivotArea>
    </format>
    <format dxfId="3849">
      <pivotArea dataOnly="0" labelOnly="1" fieldPosition="0">
        <references count="4">
          <reference field="0" count="1" selected="0">
            <x v="47"/>
          </reference>
          <reference field="1" count="1" selected="0">
            <x v="7"/>
          </reference>
          <reference field="8" count="1">
            <x v="0"/>
          </reference>
          <reference field="12" count="1" selected="0">
            <x v="40"/>
          </reference>
        </references>
      </pivotArea>
    </format>
    <format dxfId="3848">
      <pivotArea dataOnly="0" labelOnly="1" fieldPosition="0">
        <references count="4">
          <reference field="0" count="1" selected="0">
            <x v="48"/>
          </reference>
          <reference field="1" count="1" selected="0">
            <x v="8"/>
          </reference>
          <reference field="8" count="1">
            <x v="1"/>
          </reference>
          <reference field="12" count="1" selected="0">
            <x v="26"/>
          </reference>
        </references>
      </pivotArea>
    </format>
    <format dxfId="3847">
      <pivotArea dataOnly="0" labelOnly="1" fieldPosition="0">
        <references count="4">
          <reference field="0" count="1" selected="0">
            <x v="49"/>
          </reference>
          <reference field="1" count="1" selected="0">
            <x v="42"/>
          </reference>
          <reference field="8" count="1">
            <x v="1"/>
          </reference>
          <reference field="12" count="1" selected="0">
            <x v="39"/>
          </reference>
        </references>
      </pivotArea>
    </format>
    <format dxfId="3846">
      <pivotArea dataOnly="0" labelOnly="1" fieldPosition="0">
        <references count="5">
          <reference field="0" count="1" selected="0">
            <x v="0"/>
          </reference>
          <reference field="1" count="1" selected="0">
            <x v="32"/>
          </reference>
          <reference field="8" count="1" selected="0">
            <x v="0"/>
          </reference>
          <reference field="12" count="1" selected="0">
            <x v="0"/>
          </reference>
          <reference field="21" count="1">
            <x v="43"/>
          </reference>
        </references>
      </pivotArea>
    </format>
    <format dxfId="3845">
      <pivotArea dataOnly="0" labelOnly="1" fieldPosition="0">
        <references count="5">
          <reference field="0" count="1" selected="0">
            <x v="1"/>
          </reference>
          <reference field="1" count="1" selected="0">
            <x v="33"/>
          </reference>
          <reference field="8" count="1" selected="0">
            <x v="0"/>
          </reference>
          <reference field="12" count="1" selected="0">
            <x v="18"/>
          </reference>
          <reference field="21" count="1">
            <x v="38"/>
          </reference>
        </references>
      </pivotArea>
    </format>
    <format dxfId="3844">
      <pivotArea dataOnly="0" labelOnly="1" fieldPosition="0">
        <references count="5">
          <reference field="0" count="1" selected="0">
            <x v="2"/>
          </reference>
          <reference field="1" count="1" selected="0">
            <x v="45"/>
          </reference>
          <reference field="8" count="1" selected="0">
            <x v="1"/>
          </reference>
          <reference field="12" count="1" selected="0">
            <x v="10"/>
          </reference>
          <reference field="21" count="1">
            <x v="15"/>
          </reference>
        </references>
      </pivotArea>
    </format>
    <format dxfId="3843">
      <pivotArea dataOnly="0" labelOnly="1" fieldPosition="0">
        <references count="5">
          <reference field="0" count="1" selected="0">
            <x v="3"/>
          </reference>
          <reference field="1" count="1" selected="0">
            <x v="34"/>
          </reference>
          <reference field="8" count="1" selected="0">
            <x v="0"/>
          </reference>
          <reference field="12" count="1" selected="0">
            <x v="7"/>
          </reference>
          <reference field="21" count="1">
            <x v="21"/>
          </reference>
        </references>
      </pivotArea>
    </format>
    <format dxfId="3842">
      <pivotArea dataOnly="0" labelOnly="1" fieldPosition="0">
        <references count="5">
          <reference field="0" count="1" selected="0">
            <x v="4"/>
          </reference>
          <reference field="1" count="1" selected="0">
            <x v="3"/>
          </reference>
          <reference field="8" count="1" selected="0">
            <x v="1"/>
          </reference>
          <reference field="12" count="1" selected="0">
            <x v="5"/>
          </reference>
          <reference field="21" count="1">
            <x v="16"/>
          </reference>
        </references>
      </pivotArea>
    </format>
    <format dxfId="3841">
      <pivotArea dataOnly="0" labelOnly="1" fieldPosition="0">
        <references count="5">
          <reference field="0" count="1" selected="0">
            <x v="5"/>
          </reference>
          <reference field="1" count="1" selected="0">
            <x v="26"/>
          </reference>
          <reference field="8" count="1" selected="0">
            <x v="1"/>
          </reference>
          <reference field="12" count="1" selected="0">
            <x v="19"/>
          </reference>
          <reference field="21" count="1">
            <x v="38"/>
          </reference>
        </references>
      </pivotArea>
    </format>
    <format dxfId="3840">
      <pivotArea dataOnly="0" labelOnly="1" fieldPosition="0">
        <references count="5">
          <reference field="0" count="1" selected="0">
            <x v="6"/>
          </reference>
          <reference field="1" count="1" selected="0">
            <x v="31"/>
          </reference>
          <reference field="8" count="1" selected="0">
            <x v="0"/>
          </reference>
          <reference field="12" count="1" selected="0">
            <x v="9"/>
          </reference>
          <reference field="21" count="1">
            <x v="45"/>
          </reference>
        </references>
      </pivotArea>
    </format>
    <format dxfId="3839">
      <pivotArea dataOnly="0" labelOnly="1" fieldPosition="0">
        <references count="5">
          <reference field="0" count="1" selected="0">
            <x v="7"/>
          </reference>
          <reference field="1" count="1" selected="0">
            <x v="27"/>
          </reference>
          <reference field="8" count="1" selected="0">
            <x v="1"/>
          </reference>
          <reference field="12" count="1" selected="0">
            <x v="30"/>
          </reference>
          <reference field="21" count="1">
            <x v="9"/>
          </reference>
        </references>
      </pivotArea>
    </format>
    <format dxfId="3838">
      <pivotArea dataOnly="0" labelOnly="1" fieldPosition="0">
        <references count="5">
          <reference field="0" count="1" selected="0">
            <x v="8"/>
          </reference>
          <reference field="1" count="1" selected="0">
            <x v="30"/>
          </reference>
          <reference field="8" count="1" selected="0">
            <x v="0"/>
          </reference>
          <reference field="12" count="1" selected="0">
            <x v="41"/>
          </reference>
          <reference field="21" count="1">
            <x v="17"/>
          </reference>
        </references>
      </pivotArea>
    </format>
    <format dxfId="3837">
      <pivotArea dataOnly="0" labelOnly="1" fieldPosition="0">
        <references count="5">
          <reference field="0" count="1" selected="0">
            <x v="9"/>
          </reference>
          <reference field="1" count="1" selected="0">
            <x v="28"/>
          </reference>
          <reference field="8" count="1" selected="0">
            <x v="1"/>
          </reference>
          <reference field="12" count="1" selected="0">
            <x v="38"/>
          </reference>
          <reference field="21" count="1">
            <x v="10"/>
          </reference>
        </references>
      </pivotArea>
    </format>
    <format dxfId="3836">
      <pivotArea dataOnly="0" labelOnly="1" fieldPosition="0">
        <references count="5">
          <reference field="0" count="1" selected="0">
            <x v="10"/>
          </reference>
          <reference field="1" count="1" selected="0">
            <x v="41"/>
          </reference>
          <reference field="8" count="1" selected="0">
            <x v="1"/>
          </reference>
          <reference field="12" count="1" selected="0">
            <x v="23"/>
          </reference>
          <reference field="21" count="1">
            <x v="32"/>
          </reference>
        </references>
      </pivotArea>
    </format>
    <format dxfId="3835">
      <pivotArea dataOnly="0" labelOnly="1" fieldPosition="0">
        <references count="5">
          <reference field="0" count="1" selected="0">
            <x v="11"/>
          </reference>
          <reference field="1" count="1" selected="0">
            <x v="29"/>
          </reference>
          <reference field="8" count="1" selected="0">
            <x v="0"/>
          </reference>
          <reference field="12" count="1" selected="0">
            <x v="49"/>
          </reference>
          <reference field="21" count="1">
            <x v="23"/>
          </reference>
        </references>
      </pivotArea>
    </format>
    <format dxfId="3834">
      <pivotArea dataOnly="0" labelOnly="1" fieldPosition="0">
        <references count="5">
          <reference field="0" count="1" selected="0">
            <x v="12"/>
          </reference>
          <reference field="1" count="1" selected="0">
            <x v="36"/>
          </reference>
          <reference field="8" count="1" selected="0">
            <x v="0"/>
          </reference>
          <reference field="12" count="1" selected="0">
            <x v="37"/>
          </reference>
          <reference field="21" count="1">
            <x v="23"/>
          </reference>
        </references>
      </pivotArea>
    </format>
    <format dxfId="3833">
      <pivotArea dataOnly="0" labelOnly="1" fieldPosition="0">
        <references count="5">
          <reference field="0" count="1" selected="0">
            <x v="13"/>
          </reference>
          <reference field="1" count="1" selected="0">
            <x v="11"/>
          </reference>
          <reference field="8" count="1" selected="0">
            <x v="1"/>
          </reference>
          <reference field="12" count="1" selected="0">
            <x v="47"/>
          </reference>
          <reference field="21" count="1">
            <x v="5"/>
          </reference>
        </references>
      </pivotArea>
    </format>
    <format dxfId="3832">
      <pivotArea dataOnly="0" labelOnly="1" fieldPosition="0">
        <references count="5">
          <reference field="0" count="1" selected="0">
            <x v="14"/>
          </reference>
          <reference field="1" count="1" selected="0">
            <x v="40"/>
          </reference>
          <reference field="8" count="1" selected="0">
            <x v="0"/>
          </reference>
          <reference field="12" count="1" selected="0">
            <x v="36"/>
          </reference>
          <reference field="21" count="1">
            <x v="11"/>
          </reference>
        </references>
      </pivotArea>
    </format>
    <format dxfId="3831">
      <pivotArea dataOnly="0" labelOnly="1" fieldPosition="0">
        <references count="5">
          <reference field="0" count="1" selected="0">
            <x v="15"/>
          </reference>
          <reference field="1" count="1" selected="0">
            <x v="12"/>
          </reference>
          <reference field="8" count="1" selected="0">
            <x v="1"/>
          </reference>
          <reference field="12" count="1" selected="0">
            <x v="4"/>
          </reference>
          <reference field="21" count="1">
            <x v="15"/>
          </reference>
        </references>
      </pivotArea>
    </format>
    <format dxfId="3830">
      <pivotArea dataOnly="0" labelOnly="1" fieldPosition="0">
        <references count="5">
          <reference field="0" count="1" selected="0">
            <x v="16"/>
          </reference>
          <reference field="1" count="1" selected="0">
            <x v="13"/>
          </reference>
          <reference field="8" count="1" selected="0">
            <x v="1"/>
          </reference>
          <reference field="12" count="1" selected="0">
            <x v="42"/>
          </reference>
          <reference field="21" count="1">
            <x v="18"/>
          </reference>
        </references>
      </pivotArea>
    </format>
    <format dxfId="3829">
      <pivotArea dataOnly="0" labelOnly="1" fieldPosition="0">
        <references count="5">
          <reference field="0" count="1" selected="0">
            <x v="17"/>
          </reference>
          <reference field="1" count="1" selected="0">
            <x v="14"/>
          </reference>
          <reference field="8" count="1" selected="0">
            <x v="1"/>
          </reference>
          <reference field="12" count="1" selected="0">
            <x v="44"/>
          </reference>
          <reference field="21" count="1">
            <x v="5"/>
          </reference>
        </references>
      </pivotArea>
    </format>
    <format dxfId="3828">
      <pivotArea dataOnly="0" labelOnly="1" fieldPosition="0">
        <references count="5">
          <reference field="0" count="1" selected="0">
            <x v="18"/>
          </reference>
          <reference field="1" count="1" selected="0">
            <x v="2"/>
          </reference>
          <reference field="8" count="1" selected="0">
            <x v="0"/>
          </reference>
          <reference field="12" count="1" selected="0">
            <x v="31"/>
          </reference>
          <reference field="21" count="1">
            <x v="23"/>
          </reference>
        </references>
      </pivotArea>
    </format>
    <format dxfId="3827">
      <pivotArea dataOnly="0" labelOnly="1" fieldPosition="0">
        <references count="5">
          <reference field="0" count="1" selected="0">
            <x v="19"/>
          </reference>
          <reference field="1" count="1" selected="0">
            <x v="24"/>
          </reference>
          <reference field="8" count="1" selected="0">
            <x v="1"/>
          </reference>
          <reference field="12" count="1" selected="0">
            <x v="12"/>
          </reference>
          <reference field="21" count="1">
            <x v="22"/>
          </reference>
        </references>
      </pivotArea>
    </format>
    <format dxfId="3826">
      <pivotArea dataOnly="0" labelOnly="1" fieldPosition="0">
        <references count="5">
          <reference field="0" count="1" selected="0">
            <x v="20"/>
          </reference>
          <reference field="1" count="1" selected="0">
            <x v="25"/>
          </reference>
          <reference field="8" count="1" selected="0">
            <x v="1"/>
          </reference>
          <reference field="12" count="1" selected="0">
            <x v="35"/>
          </reference>
          <reference field="21" count="1">
            <x v="42"/>
          </reference>
        </references>
      </pivotArea>
    </format>
    <format dxfId="3825">
      <pivotArea dataOnly="0" labelOnly="1" fieldPosition="0">
        <references count="5">
          <reference field="0" count="1" selected="0">
            <x v="21"/>
          </reference>
          <reference field="1" count="1" selected="0">
            <x v="1"/>
          </reference>
          <reference field="8" count="1" selected="0">
            <x v="0"/>
          </reference>
          <reference field="12" count="1" selected="0">
            <x v="25"/>
          </reference>
          <reference field="21" count="1">
            <x v="10"/>
          </reference>
        </references>
      </pivotArea>
    </format>
    <format dxfId="3824">
      <pivotArea dataOnly="0" labelOnly="1" fieldPosition="0">
        <references count="5">
          <reference field="0" count="1" selected="0">
            <x v="22"/>
          </reference>
          <reference field="1" count="1" selected="0">
            <x v="4"/>
          </reference>
          <reference field="8" count="1" selected="0">
            <x v="0"/>
          </reference>
          <reference field="12" count="1" selected="0">
            <x v="46"/>
          </reference>
          <reference field="21" count="1">
            <x v="1"/>
          </reference>
        </references>
      </pivotArea>
    </format>
    <format dxfId="3823">
      <pivotArea dataOnly="0" labelOnly="1" fieldPosition="0">
        <references count="5">
          <reference field="0" count="1" selected="0">
            <x v="23"/>
          </reference>
          <reference field="1" count="1" selected="0">
            <x v="5"/>
          </reference>
          <reference field="8" count="1" selected="0">
            <x v="0"/>
          </reference>
          <reference field="12" count="1" selected="0">
            <x v="3"/>
          </reference>
          <reference field="21" count="1">
            <x v="45"/>
          </reference>
        </references>
      </pivotArea>
    </format>
    <format dxfId="3822">
      <pivotArea dataOnly="0" labelOnly="1" fieldPosition="0">
        <references count="5">
          <reference field="0" count="1" selected="0">
            <x v="24"/>
          </reference>
          <reference field="1" count="1" selected="0">
            <x v="6"/>
          </reference>
          <reference field="8" count="1" selected="0">
            <x v="0"/>
          </reference>
          <reference field="12" count="1" selected="0">
            <x v="1"/>
          </reference>
          <reference field="21" count="1">
            <x v="12"/>
          </reference>
        </references>
      </pivotArea>
    </format>
    <format dxfId="3821">
      <pivotArea dataOnly="0" labelOnly="1" fieldPosition="0">
        <references count="5">
          <reference field="0" count="1" selected="0">
            <x v="25"/>
          </reference>
          <reference field="1" count="1" selected="0">
            <x v="35"/>
          </reference>
          <reference field="8" count="1" selected="0">
            <x v="0"/>
          </reference>
          <reference field="12" count="1" selected="0">
            <x v="34"/>
          </reference>
          <reference field="21" count="1">
            <x v="24"/>
          </reference>
        </references>
      </pivotArea>
    </format>
    <format dxfId="3820">
      <pivotArea dataOnly="0" labelOnly="1" fieldPosition="0">
        <references count="5">
          <reference field="0" count="1" selected="0">
            <x v="26"/>
          </reference>
          <reference field="1" count="1" selected="0">
            <x v="9"/>
          </reference>
          <reference field="8" count="1" selected="0">
            <x v="1"/>
          </reference>
          <reference field="12" count="1" selected="0">
            <x v="48"/>
          </reference>
          <reference field="21" count="1">
            <x v="16"/>
          </reference>
        </references>
      </pivotArea>
    </format>
    <format dxfId="3819">
      <pivotArea dataOnly="0" labelOnly="1" fieldPosition="0">
        <references count="5">
          <reference field="0" count="1" selected="0">
            <x v="27"/>
          </reference>
          <reference field="1" count="1" selected="0">
            <x v="10"/>
          </reference>
          <reference field="8" count="1" selected="0">
            <x v="1"/>
          </reference>
          <reference field="12" count="1" selected="0">
            <x v="14"/>
          </reference>
          <reference field="21" count="1">
            <x v="28"/>
          </reference>
        </references>
      </pivotArea>
    </format>
    <format dxfId="3818">
      <pivotArea dataOnly="0" labelOnly="1" fieldPosition="0">
        <references count="5">
          <reference field="0" count="1" selected="0">
            <x v="28"/>
          </reference>
          <reference field="1" count="1" selected="0">
            <x v="39"/>
          </reference>
          <reference field="8" count="1" selected="0">
            <x v="0"/>
          </reference>
          <reference field="12" count="1" selected="0">
            <x v="32"/>
          </reference>
          <reference field="21" count="1">
            <x v="40"/>
          </reference>
        </references>
      </pivotArea>
    </format>
    <format dxfId="3817">
      <pivotArea dataOnly="0" labelOnly="1" fieldPosition="0">
        <references count="5">
          <reference field="0" count="1" selected="0">
            <x v="29"/>
          </reference>
          <reference field="1" count="1" selected="0">
            <x v="23"/>
          </reference>
          <reference field="8" count="1" selected="0">
            <x v="0"/>
          </reference>
          <reference field="12" count="1" selected="0">
            <x v="22"/>
          </reference>
          <reference field="21" count="1">
            <x v="25"/>
          </reference>
        </references>
      </pivotArea>
    </format>
    <format dxfId="3816">
      <pivotArea dataOnly="0" labelOnly="1" fieldPosition="0">
        <references count="5">
          <reference field="0" count="1" selected="0">
            <x v="30"/>
          </reference>
          <reference field="1" count="1" selected="0">
            <x v="22"/>
          </reference>
          <reference field="8" count="1" selected="0">
            <x v="0"/>
          </reference>
          <reference field="12" count="1" selected="0">
            <x v="8"/>
          </reference>
          <reference field="21" count="1">
            <x v="35"/>
          </reference>
        </references>
      </pivotArea>
    </format>
    <format dxfId="3815">
      <pivotArea dataOnly="0" labelOnly="1" fieldPosition="0">
        <references count="5">
          <reference field="0" count="1" selected="0">
            <x v="31"/>
          </reference>
          <reference field="1" count="1" selected="0">
            <x v="21"/>
          </reference>
          <reference field="8" count="1" selected="0">
            <x v="0"/>
          </reference>
          <reference field="12" count="1" selected="0">
            <x v="6"/>
          </reference>
          <reference field="21" count="1">
            <x v="16"/>
          </reference>
        </references>
      </pivotArea>
    </format>
    <format dxfId="3814">
      <pivotArea dataOnly="0" labelOnly="1" fieldPosition="0">
        <references count="5">
          <reference field="0" count="1" selected="0">
            <x v="32"/>
          </reference>
          <reference field="1" count="1" selected="0">
            <x v="19"/>
          </reference>
          <reference field="8" count="1" selected="0">
            <x v="1"/>
          </reference>
          <reference field="12" count="1" selected="0">
            <x v="45"/>
          </reference>
          <reference field="21" count="1">
            <x v="26"/>
          </reference>
        </references>
      </pivotArea>
    </format>
    <format dxfId="3813">
      <pivotArea dataOnly="0" labelOnly="1" fieldPosition="0">
        <references count="5">
          <reference field="0" count="1" selected="0">
            <x v="33"/>
          </reference>
          <reference field="1" count="1" selected="0">
            <x v="20"/>
          </reference>
          <reference field="8" count="1" selected="0">
            <x v="1"/>
          </reference>
          <reference field="12" count="1" selected="0">
            <x v="17"/>
          </reference>
          <reference field="21" count="1">
            <x v="27"/>
          </reference>
        </references>
      </pivotArea>
    </format>
    <format dxfId="3812">
      <pivotArea dataOnly="0" labelOnly="1" fieldPosition="0">
        <references count="5">
          <reference field="0" count="1" selected="0">
            <x v="34"/>
          </reference>
          <reference field="1" count="1" selected="0">
            <x v="16"/>
          </reference>
          <reference field="8" count="1" selected="0">
            <x v="1"/>
          </reference>
          <reference field="12" count="1" selected="0">
            <x v="16"/>
          </reference>
          <reference field="21" count="1">
            <x v="1"/>
          </reference>
        </references>
      </pivotArea>
    </format>
    <format dxfId="3811">
      <pivotArea dataOnly="0" labelOnly="1" fieldPosition="0">
        <references count="5">
          <reference field="0" count="1" selected="0">
            <x v="35"/>
          </reference>
          <reference field="1" count="1" selected="0">
            <x v="17"/>
          </reference>
          <reference field="8" count="1" selected="0">
            <x v="1"/>
          </reference>
          <reference field="12" count="1" selected="0">
            <x v="15"/>
          </reference>
          <reference field="21" count="1">
            <x v="21"/>
          </reference>
        </references>
      </pivotArea>
    </format>
    <format dxfId="3810">
      <pivotArea dataOnly="0" labelOnly="1" fieldPosition="0">
        <references count="5">
          <reference field="0" count="1" selected="0">
            <x v="36"/>
          </reference>
          <reference field="1" count="1" selected="0">
            <x v="15"/>
          </reference>
          <reference field="8" count="1" selected="0">
            <x v="1"/>
          </reference>
          <reference field="12" count="1" selected="0">
            <x v="20"/>
          </reference>
          <reference field="21" count="1">
            <x v="32"/>
          </reference>
        </references>
      </pivotArea>
    </format>
    <format dxfId="3809">
      <pivotArea dataOnly="0" labelOnly="1" fieldPosition="0">
        <references count="5">
          <reference field="0" count="1" selected="0">
            <x v="37"/>
          </reference>
          <reference field="1" count="1" selected="0">
            <x v="18"/>
          </reference>
          <reference field="8" count="1" selected="0">
            <x v="1"/>
          </reference>
          <reference field="12" count="1" selected="0">
            <x v="13"/>
          </reference>
          <reference field="21" count="1">
            <x v="29"/>
          </reference>
        </references>
      </pivotArea>
    </format>
    <format dxfId="3808">
      <pivotArea dataOnly="0" labelOnly="1" fieldPosition="0">
        <references count="5">
          <reference field="0" count="1" selected="0">
            <x v="38"/>
          </reference>
          <reference field="1" count="1" selected="0">
            <x v="44"/>
          </reference>
          <reference field="8" count="1" selected="0">
            <x v="1"/>
          </reference>
          <reference field="12" count="1" selected="0">
            <x v="43"/>
          </reference>
          <reference field="21" count="1">
            <x v="30"/>
          </reference>
        </references>
      </pivotArea>
    </format>
    <format dxfId="3807">
      <pivotArea dataOnly="0" labelOnly="1" fieldPosition="0">
        <references count="5">
          <reference field="0" count="1" selected="0">
            <x v="39"/>
          </reference>
          <reference field="1" count="1" selected="0">
            <x v="43"/>
          </reference>
          <reference field="8" count="1" selected="0">
            <x v="1"/>
          </reference>
          <reference field="12" count="1" selected="0">
            <x v="28"/>
          </reference>
          <reference field="21" count="1">
            <x v="34"/>
          </reference>
        </references>
      </pivotArea>
    </format>
    <format dxfId="3806">
      <pivotArea dataOnly="0" labelOnly="1" fieldPosition="0">
        <references count="5">
          <reference field="0" count="1" selected="0">
            <x v="40"/>
          </reference>
          <reference field="1" count="1" selected="0">
            <x v="49"/>
          </reference>
          <reference field="8" count="1" selected="0">
            <x v="0"/>
          </reference>
          <reference field="12" count="1" selected="0">
            <x v="24"/>
          </reference>
          <reference field="21" count="1">
            <x v="20"/>
          </reference>
        </references>
      </pivotArea>
    </format>
    <format dxfId="3805">
      <pivotArea dataOnly="0" labelOnly="1" fieldPosition="0">
        <references count="5">
          <reference field="0" count="1" selected="0">
            <x v="41"/>
          </reference>
          <reference field="1" count="1" selected="0">
            <x v="46"/>
          </reference>
          <reference field="8" count="1" selected="0">
            <x v="0"/>
          </reference>
          <reference field="12" count="1" selected="0">
            <x v="11"/>
          </reference>
          <reference field="21" count="1">
            <x v="36"/>
          </reference>
        </references>
      </pivotArea>
    </format>
    <format dxfId="3804">
      <pivotArea dataOnly="0" labelOnly="1" fieldPosition="0">
        <references count="5">
          <reference field="0" count="1" selected="0">
            <x v="42"/>
          </reference>
          <reference field="1" count="1" selected="0">
            <x v="48"/>
          </reference>
          <reference field="8" count="1" selected="0">
            <x v="0"/>
          </reference>
          <reference field="12" count="1" selected="0">
            <x v="2"/>
          </reference>
          <reference field="21" count="1">
            <x v="6"/>
          </reference>
        </references>
      </pivotArea>
    </format>
    <format dxfId="3803">
      <pivotArea dataOnly="0" labelOnly="1" fieldPosition="0">
        <references count="5">
          <reference field="0" count="1" selected="0">
            <x v="43"/>
          </reference>
          <reference field="1" count="1" selected="0">
            <x v="47"/>
          </reference>
          <reference field="8" count="1" selected="0">
            <x v="0"/>
          </reference>
          <reference field="12" count="1" selected="0">
            <x v="21"/>
          </reference>
          <reference field="21" count="1">
            <x v="11"/>
          </reference>
        </references>
      </pivotArea>
    </format>
    <format dxfId="3802">
      <pivotArea dataOnly="0" labelOnly="1" fieldPosition="0">
        <references count="5">
          <reference field="0" count="1" selected="0">
            <x v="44"/>
          </reference>
          <reference field="1" count="1" selected="0">
            <x v="37"/>
          </reference>
          <reference field="8" count="1" selected="0">
            <x v="0"/>
          </reference>
          <reference field="12" count="1" selected="0">
            <x v="29"/>
          </reference>
          <reference field="21" count="1">
            <x v="6"/>
          </reference>
        </references>
      </pivotArea>
    </format>
    <format dxfId="3801">
      <pivotArea dataOnly="0" labelOnly="1" fieldPosition="0">
        <references count="5">
          <reference field="0" count="1" selected="0">
            <x v="45"/>
          </reference>
          <reference field="1" count="1" selected="0">
            <x v="0"/>
          </reference>
          <reference field="8" count="1" selected="0">
            <x v="1"/>
          </reference>
          <reference field="12" count="1" selected="0">
            <x v="27"/>
          </reference>
          <reference field="21" count="1">
            <x v="19"/>
          </reference>
        </references>
      </pivotArea>
    </format>
    <format dxfId="3800">
      <pivotArea dataOnly="0" labelOnly="1" fieldPosition="0">
        <references count="5">
          <reference field="0" count="1" selected="0">
            <x v="46"/>
          </reference>
          <reference field="1" count="1" selected="0">
            <x v="38"/>
          </reference>
          <reference field="8" count="1" selected="0">
            <x v="0"/>
          </reference>
          <reference field="12" count="1" selected="0">
            <x v="33"/>
          </reference>
          <reference field="21" count="1">
            <x v="14"/>
          </reference>
        </references>
      </pivotArea>
    </format>
    <format dxfId="3799">
      <pivotArea dataOnly="0" labelOnly="1" fieldPosition="0">
        <references count="5">
          <reference field="0" count="1" selected="0">
            <x v="47"/>
          </reference>
          <reference field="1" count="1" selected="0">
            <x v="7"/>
          </reference>
          <reference field="8" count="1" selected="0">
            <x v="0"/>
          </reference>
          <reference field="12" count="1" selected="0">
            <x v="40"/>
          </reference>
          <reference field="21" count="1">
            <x v="43"/>
          </reference>
        </references>
      </pivotArea>
    </format>
    <format dxfId="3798">
      <pivotArea dataOnly="0" labelOnly="1" fieldPosition="0">
        <references count="5">
          <reference field="0" count="1" selected="0">
            <x v="48"/>
          </reference>
          <reference field="1" count="1" selected="0">
            <x v="8"/>
          </reference>
          <reference field="8" count="1" selected="0">
            <x v="1"/>
          </reference>
          <reference field="12" count="1" selected="0">
            <x v="26"/>
          </reference>
          <reference field="21" count="1">
            <x v="33"/>
          </reference>
        </references>
      </pivotArea>
    </format>
    <format dxfId="3797">
      <pivotArea dataOnly="0" labelOnly="1" fieldPosition="0">
        <references count="5">
          <reference field="0" count="1" selected="0">
            <x v="49"/>
          </reference>
          <reference field="1" count="1" selected="0">
            <x v="42"/>
          </reference>
          <reference field="8" count="1" selected="0">
            <x v="1"/>
          </reference>
          <reference field="12" count="1" selected="0">
            <x v="39"/>
          </reference>
          <reference field="21" count="1">
            <x v="39"/>
          </reference>
        </references>
      </pivotArea>
    </format>
    <format dxfId="3796">
      <pivotArea dataOnly="0" labelOnly="1" fieldPosition="0">
        <references count="6">
          <reference field="0" count="1" selected="0">
            <x v="0"/>
          </reference>
          <reference field="1" count="1" selected="0">
            <x v="32"/>
          </reference>
          <reference field="8" count="1" selected="0">
            <x v="0"/>
          </reference>
          <reference field="10" count="1">
            <x v="10"/>
          </reference>
          <reference field="12" count="1" selected="0">
            <x v="0"/>
          </reference>
          <reference field="21" count="1" selected="0">
            <x v="43"/>
          </reference>
        </references>
      </pivotArea>
    </format>
    <format dxfId="3795">
      <pivotArea dataOnly="0" labelOnly="1" fieldPosition="0">
        <references count="6">
          <reference field="0" count="1" selected="0">
            <x v="1"/>
          </reference>
          <reference field="1" count="1" selected="0">
            <x v="33"/>
          </reference>
          <reference field="8" count="1" selected="0">
            <x v="0"/>
          </reference>
          <reference field="10" count="1">
            <x v="10"/>
          </reference>
          <reference field="12" count="1" selected="0">
            <x v="18"/>
          </reference>
          <reference field="21" count="1" selected="0">
            <x v="38"/>
          </reference>
        </references>
      </pivotArea>
    </format>
    <format dxfId="3794">
      <pivotArea dataOnly="0" labelOnly="1" fieldPosition="0">
        <references count="6">
          <reference field="0" count="1" selected="0">
            <x v="2"/>
          </reference>
          <reference field="1" count="1" selected="0">
            <x v="45"/>
          </reference>
          <reference field="8" count="1" selected="0">
            <x v="1"/>
          </reference>
          <reference field="10" count="1">
            <x v="3"/>
          </reference>
          <reference field="12" count="1" selected="0">
            <x v="10"/>
          </reference>
          <reference field="21" count="1" selected="0">
            <x v="15"/>
          </reference>
        </references>
      </pivotArea>
    </format>
    <format dxfId="3793">
      <pivotArea dataOnly="0" labelOnly="1" fieldPosition="0">
        <references count="6">
          <reference field="0" count="1" selected="0">
            <x v="5"/>
          </reference>
          <reference field="1" count="1" selected="0">
            <x v="26"/>
          </reference>
          <reference field="8" count="1" selected="0">
            <x v="1"/>
          </reference>
          <reference field="10" count="1">
            <x v="10"/>
          </reference>
          <reference field="12" count="1" selected="0">
            <x v="19"/>
          </reference>
          <reference field="21" count="1" selected="0">
            <x v="38"/>
          </reference>
        </references>
      </pivotArea>
    </format>
    <format dxfId="3792">
      <pivotArea dataOnly="0" labelOnly="1" fieldPosition="0">
        <references count="6">
          <reference field="0" count="1" selected="0">
            <x v="15"/>
          </reference>
          <reference field="1" count="1" selected="0">
            <x v="12"/>
          </reference>
          <reference field="8" count="1" selected="0">
            <x v="1"/>
          </reference>
          <reference field="10" count="1">
            <x v="5"/>
          </reference>
          <reference field="12" count="1" selected="0">
            <x v="4"/>
          </reference>
          <reference field="21" count="1" selected="0">
            <x v="15"/>
          </reference>
        </references>
      </pivotArea>
    </format>
    <format dxfId="3791">
      <pivotArea dataOnly="0" labelOnly="1" fieldPosition="0">
        <references count="6">
          <reference field="0" count="1" selected="0">
            <x v="47"/>
          </reference>
          <reference field="1" count="1" selected="0">
            <x v="7"/>
          </reference>
          <reference field="8" count="1" selected="0">
            <x v="0"/>
          </reference>
          <reference field="10" count="1">
            <x v="8"/>
          </reference>
          <reference field="12" count="1" selected="0">
            <x v="40"/>
          </reference>
          <reference field="21" count="1" selected="0">
            <x v="43"/>
          </reference>
        </references>
      </pivotArea>
    </format>
    <format dxfId="3790">
      <pivotArea dataOnly="0" labelOnly="1" fieldPosition="0">
        <references count="7">
          <reference field="0" count="1" selected="0">
            <x v="0"/>
          </reference>
          <reference field="1" count="1" selected="0">
            <x v="32"/>
          </reference>
          <reference field="8" count="1" selected="0">
            <x v="0"/>
          </reference>
          <reference field="10" count="1" selected="0">
            <x v="10"/>
          </reference>
          <reference field="11" count="1">
            <x v="1"/>
          </reference>
          <reference field="12" count="1" selected="0">
            <x v="0"/>
          </reference>
          <reference field="21" count="1" selected="0">
            <x v="43"/>
          </reference>
        </references>
      </pivotArea>
    </format>
    <format dxfId="3789">
      <pivotArea dataOnly="0" labelOnly="1" fieldPosition="0">
        <references count="7">
          <reference field="0" count="1" selected="0">
            <x v="1"/>
          </reference>
          <reference field="1" count="1" selected="0">
            <x v="33"/>
          </reference>
          <reference field="8" count="1" selected="0">
            <x v="0"/>
          </reference>
          <reference field="10" count="1" selected="0">
            <x v="10"/>
          </reference>
          <reference field="11" count="1">
            <x v="1"/>
          </reference>
          <reference field="12" count="1" selected="0">
            <x v="18"/>
          </reference>
          <reference field="21" count="1" selected="0">
            <x v="38"/>
          </reference>
        </references>
      </pivotArea>
    </format>
    <format dxfId="3788">
      <pivotArea dataOnly="0" labelOnly="1" fieldPosition="0">
        <references count="7">
          <reference field="0" count="1" selected="0">
            <x v="2"/>
          </reference>
          <reference field="1" count="1" selected="0">
            <x v="45"/>
          </reference>
          <reference field="8" count="1" selected="0">
            <x v="1"/>
          </reference>
          <reference field="10" count="1" selected="0">
            <x v="3"/>
          </reference>
          <reference field="11" count="1">
            <x v="4"/>
          </reference>
          <reference field="12" count="1" selected="0">
            <x v="10"/>
          </reference>
          <reference field="21" count="1" selected="0">
            <x v="15"/>
          </reference>
        </references>
      </pivotArea>
    </format>
    <format dxfId="3787">
      <pivotArea dataOnly="0" labelOnly="1" fieldPosition="0">
        <references count="7">
          <reference field="0" count="1" selected="0">
            <x v="5"/>
          </reference>
          <reference field="1" count="1" selected="0">
            <x v="26"/>
          </reference>
          <reference field="8" count="1" selected="0">
            <x v="1"/>
          </reference>
          <reference field="10" count="1" selected="0">
            <x v="10"/>
          </reference>
          <reference field="11" count="1">
            <x v="1"/>
          </reference>
          <reference field="12" count="1" selected="0">
            <x v="19"/>
          </reference>
          <reference field="21" count="1" selected="0">
            <x v="38"/>
          </reference>
        </references>
      </pivotArea>
    </format>
    <format dxfId="3786">
      <pivotArea dataOnly="0" labelOnly="1" fieldPosition="0">
        <references count="7">
          <reference field="0" count="1" selected="0">
            <x v="15"/>
          </reference>
          <reference field="1" count="1" selected="0">
            <x v="12"/>
          </reference>
          <reference field="8" count="1" selected="0">
            <x v="1"/>
          </reference>
          <reference field="10" count="1" selected="0">
            <x v="5"/>
          </reference>
          <reference field="11" count="1">
            <x v="3"/>
          </reference>
          <reference field="12" count="1" selected="0">
            <x v="4"/>
          </reference>
          <reference field="21" count="1" selected="0">
            <x v="15"/>
          </reference>
        </references>
      </pivotArea>
    </format>
    <format dxfId="3785">
      <pivotArea dataOnly="0" labelOnly="1" fieldPosition="0">
        <references count="7">
          <reference field="0" count="1" selected="0">
            <x v="47"/>
          </reference>
          <reference field="1" count="1" selected="0">
            <x v="7"/>
          </reference>
          <reference field="8" count="1" selected="0">
            <x v="0"/>
          </reference>
          <reference field="10" count="1" selected="0">
            <x v="8"/>
          </reference>
          <reference field="11" count="1">
            <x v="6"/>
          </reference>
          <reference field="12" count="1" selected="0">
            <x v="40"/>
          </reference>
          <reference field="21" count="1" selected="0">
            <x v="43"/>
          </reference>
        </references>
      </pivotArea>
    </format>
    <format dxfId="3784">
      <pivotArea dataOnly="0" labelOnly="1" fieldPosition="0">
        <references count="8">
          <reference field="0" count="1" selected="0">
            <x v="0"/>
          </reference>
          <reference field="1" count="1" selected="0">
            <x v="32"/>
          </reference>
          <reference field="8" count="1" selected="0">
            <x v="0"/>
          </reference>
          <reference field="10" count="1" selected="0">
            <x v="10"/>
          </reference>
          <reference field="11" count="1" selected="0">
            <x v="1"/>
          </reference>
          <reference field="12" count="1" selected="0">
            <x v="0"/>
          </reference>
          <reference field="17" count="1">
            <x v="13"/>
          </reference>
          <reference field="21" count="1" selected="0">
            <x v="43"/>
          </reference>
        </references>
      </pivotArea>
    </format>
    <format dxfId="3783">
      <pivotArea dataOnly="0" labelOnly="1" fieldPosition="0">
        <references count="8">
          <reference field="0" count="1" selected="0">
            <x v="1"/>
          </reference>
          <reference field="1" count="1" selected="0">
            <x v="33"/>
          </reference>
          <reference field="8" count="1" selected="0">
            <x v="0"/>
          </reference>
          <reference field="10" count="1" selected="0">
            <x v="10"/>
          </reference>
          <reference field="11" count="1" selected="0">
            <x v="1"/>
          </reference>
          <reference field="12" count="1" selected="0">
            <x v="18"/>
          </reference>
          <reference field="17" count="1">
            <x v="6"/>
          </reference>
          <reference field="21" count="1" selected="0">
            <x v="38"/>
          </reference>
        </references>
      </pivotArea>
    </format>
    <format dxfId="3782">
      <pivotArea dataOnly="0" labelOnly="1" fieldPosition="0">
        <references count="8">
          <reference field="0" count="1" selected="0">
            <x v="2"/>
          </reference>
          <reference field="1" count="1" selected="0">
            <x v="45"/>
          </reference>
          <reference field="8" count="1" selected="0">
            <x v="1"/>
          </reference>
          <reference field="10" count="1" selected="0">
            <x v="3"/>
          </reference>
          <reference field="11" count="1" selected="0">
            <x v="4"/>
          </reference>
          <reference field="12" count="1" selected="0">
            <x v="10"/>
          </reference>
          <reference field="17" count="1">
            <x v="17"/>
          </reference>
          <reference field="21" count="1" selected="0">
            <x v="15"/>
          </reference>
        </references>
      </pivotArea>
    </format>
    <format dxfId="3781">
      <pivotArea dataOnly="0" labelOnly="1" fieldPosition="0">
        <references count="8">
          <reference field="0" count="1" selected="0">
            <x v="5"/>
          </reference>
          <reference field="1" count="1" selected="0">
            <x v="26"/>
          </reference>
          <reference field="8" count="1" selected="0">
            <x v="1"/>
          </reference>
          <reference field="10" count="1" selected="0">
            <x v="10"/>
          </reference>
          <reference field="11" count="1" selected="0">
            <x v="1"/>
          </reference>
          <reference field="12" count="1" selected="0">
            <x v="19"/>
          </reference>
          <reference field="17" count="1">
            <x v="16"/>
          </reference>
          <reference field="21" count="1" selected="0">
            <x v="38"/>
          </reference>
        </references>
      </pivotArea>
    </format>
    <format dxfId="3780">
      <pivotArea dataOnly="0" labelOnly="1" fieldPosition="0">
        <references count="8">
          <reference field="0" count="1" selected="0">
            <x v="15"/>
          </reference>
          <reference field="1" count="1" selected="0">
            <x v="12"/>
          </reference>
          <reference field="8" count="1" selected="0">
            <x v="1"/>
          </reference>
          <reference field="10" count="1" selected="0">
            <x v="5"/>
          </reference>
          <reference field="11" count="1" selected="0">
            <x v="3"/>
          </reference>
          <reference field="12" count="1" selected="0">
            <x v="4"/>
          </reference>
          <reference field="17" count="1">
            <x v="0"/>
          </reference>
          <reference field="21" count="1" selected="0">
            <x v="15"/>
          </reference>
        </references>
      </pivotArea>
    </format>
    <format dxfId="3779">
      <pivotArea dataOnly="0" labelOnly="1" fieldPosition="0">
        <references count="8">
          <reference field="0" count="1" selected="0">
            <x v="47"/>
          </reference>
          <reference field="1" count="1" selected="0">
            <x v="7"/>
          </reference>
          <reference field="8" count="1" selected="0">
            <x v="0"/>
          </reference>
          <reference field="10" count="1" selected="0">
            <x v="8"/>
          </reference>
          <reference field="11" count="1" selected="0">
            <x v="6"/>
          </reference>
          <reference field="12" count="1" selected="0">
            <x v="40"/>
          </reference>
          <reference field="17" count="1">
            <x v="17"/>
          </reference>
          <reference field="21" count="1" selected="0">
            <x v="43"/>
          </reference>
        </references>
      </pivotArea>
    </format>
    <format dxfId="3778">
      <pivotArea dataOnly="0" labelOnly="1" fieldPosition="0">
        <references count="1">
          <reference field="0" count="0"/>
        </references>
      </pivotArea>
    </format>
    <format dxfId="3777">
      <pivotArea dataOnly="0" labelOnly="1" fieldPosition="0">
        <references count="2">
          <reference field="0" count="1" selected="0">
            <x v="0"/>
          </reference>
          <reference field="1" count="1">
            <x v="32"/>
          </reference>
        </references>
      </pivotArea>
    </format>
    <format dxfId="3776">
      <pivotArea dataOnly="0" labelOnly="1" fieldPosition="0">
        <references count="2">
          <reference field="0" count="1" selected="0">
            <x v="1"/>
          </reference>
          <reference field="1" count="1">
            <x v="33"/>
          </reference>
        </references>
      </pivotArea>
    </format>
    <format dxfId="3775">
      <pivotArea dataOnly="0" labelOnly="1" fieldPosition="0">
        <references count="2">
          <reference field="0" count="1" selected="0">
            <x v="2"/>
          </reference>
          <reference field="1" count="1">
            <x v="45"/>
          </reference>
        </references>
      </pivotArea>
    </format>
    <format dxfId="3774">
      <pivotArea dataOnly="0" labelOnly="1" fieldPosition="0">
        <references count="2">
          <reference field="0" count="1" selected="0">
            <x v="3"/>
          </reference>
          <reference field="1" count="1">
            <x v="34"/>
          </reference>
        </references>
      </pivotArea>
    </format>
    <format dxfId="3773">
      <pivotArea dataOnly="0" labelOnly="1" fieldPosition="0">
        <references count="2">
          <reference field="0" count="1" selected="0">
            <x v="4"/>
          </reference>
          <reference field="1" count="1">
            <x v="3"/>
          </reference>
        </references>
      </pivotArea>
    </format>
    <format dxfId="3772">
      <pivotArea dataOnly="0" labelOnly="1" fieldPosition="0">
        <references count="2">
          <reference field="0" count="1" selected="0">
            <x v="5"/>
          </reference>
          <reference field="1" count="1">
            <x v="26"/>
          </reference>
        </references>
      </pivotArea>
    </format>
    <format dxfId="3771">
      <pivotArea dataOnly="0" labelOnly="1" fieldPosition="0">
        <references count="2">
          <reference field="0" count="1" selected="0">
            <x v="6"/>
          </reference>
          <reference field="1" count="1">
            <x v="31"/>
          </reference>
        </references>
      </pivotArea>
    </format>
    <format dxfId="3770">
      <pivotArea dataOnly="0" labelOnly="1" fieldPosition="0">
        <references count="2">
          <reference field="0" count="1" selected="0">
            <x v="7"/>
          </reference>
          <reference field="1" count="1">
            <x v="27"/>
          </reference>
        </references>
      </pivotArea>
    </format>
    <format dxfId="3769">
      <pivotArea dataOnly="0" labelOnly="1" fieldPosition="0">
        <references count="2">
          <reference field="0" count="1" selected="0">
            <x v="8"/>
          </reference>
          <reference field="1" count="1">
            <x v="30"/>
          </reference>
        </references>
      </pivotArea>
    </format>
    <format dxfId="3768">
      <pivotArea dataOnly="0" labelOnly="1" fieldPosition="0">
        <references count="2">
          <reference field="0" count="1" selected="0">
            <x v="9"/>
          </reference>
          <reference field="1" count="1">
            <x v="28"/>
          </reference>
        </references>
      </pivotArea>
    </format>
    <format dxfId="3767">
      <pivotArea dataOnly="0" labelOnly="1" fieldPosition="0">
        <references count="2">
          <reference field="0" count="1" selected="0">
            <x v="10"/>
          </reference>
          <reference field="1" count="1">
            <x v="41"/>
          </reference>
        </references>
      </pivotArea>
    </format>
    <format dxfId="3766">
      <pivotArea dataOnly="0" labelOnly="1" fieldPosition="0">
        <references count="2">
          <reference field="0" count="1" selected="0">
            <x v="11"/>
          </reference>
          <reference field="1" count="1">
            <x v="29"/>
          </reference>
        </references>
      </pivotArea>
    </format>
    <format dxfId="3765">
      <pivotArea dataOnly="0" labelOnly="1" fieldPosition="0">
        <references count="2">
          <reference field="0" count="1" selected="0">
            <x v="12"/>
          </reference>
          <reference field="1" count="1">
            <x v="36"/>
          </reference>
        </references>
      </pivotArea>
    </format>
    <format dxfId="3764">
      <pivotArea dataOnly="0" labelOnly="1" fieldPosition="0">
        <references count="2">
          <reference field="0" count="1" selected="0">
            <x v="13"/>
          </reference>
          <reference field="1" count="1">
            <x v="11"/>
          </reference>
        </references>
      </pivotArea>
    </format>
    <format dxfId="3763">
      <pivotArea dataOnly="0" labelOnly="1" fieldPosition="0">
        <references count="2">
          <reference field="0" count="1" selected="0">
            <x v="14"/>
          </reference>
          <reference field="1" count="1">
            <x v="40"/>
          </reference>
        </references>
      </pivotArea>
    </format>
    <format dxfId="3762">
      <pivotArea dataOnly="0" labelOnly="1" fieldPosition="0">
        <references count="2">
          <reference field="0" count="1" selected="0">
            <x v="15"/>
          </reference>
          <reference field="1" count="1">
            <x v="12"/>
          </reference>
        </references>
      </pivotArea>
    </format>
    <format dxfId="3761">
      <pivotArea dataOnly="0" labelOnly="1" fieldPosition="0">
        <references count="2">
          <reference field="0" count="1" selected="0">
            <x v="16"/>
          </reference>
          <reference field="1" count="1">
            <x v="13"/>
          </reference>
        </references>
      </pivotArea>
    </format>
    <format dxfId="3760">
      <pivotArea dataOnly="0" labelOnly="1" fieldPosition="0">
        <references count="2">
          <reference field="0" count="1" selected="0">
            <x v="17"/>
          </reference>
          <reference field="1" count="1">
            <x v="14"/>
          </reference>
        </references>
      </pivotArea>
    </format>
    <format dxfId="3759">
      <pivotArea dataOnly="0" labelOnly="1" fieldPosition="0">
        <references count="2">
          <reference field="0" count="1" selected="0">
            <x v="18"/>
          </reference>
          <reference field="1" count="1">
            <x v="2"/>
          </reference>
        </references>
      </pivotArea>
    </format>
    <format dxfId="3758">
      <pivotArea dataOnly="0" labelOnly="1" fieldPosition="0">
        <references count="2">
          <reference field="0" count="1" selected="0">
            <x v="19"/>
          </reference>
          <reference field="1" count="1">
            <x v="24"/>
          </reference>
        </references>
      </pivotArea>
    </format>
    <format dxfId="3757">
      <pivotArea dataOnly="0" labelOnly="1" fieldPosition="0">
        <references count="2">
          <reference field="0" count="1" selected="0">
            <x v="20"/>
          </reference>
          <reference field="1" count="1">
            <x v="25"/>
          </reference>
        </references>
      </pivotArea>
    </format>
    <format dxfId="3756">
      <pivotArea dataOnly="0" labelOnly="1" fieldPosition="0">
        <references count="2">
          <reference field="0" count="1" selected="0">
            <x v="21"/>
          </reference>
          <reference field="1" count="1">
            <x v="1"/>
          </reference>
        </references>
      </pivotArea>
    </format>
    <format dxfId="3755">
      <pivotArea dataOnly="0" labelOnly="1" fieldPosition="0">
        <references count="2">
          <reference field="0" count="1" selected="0">
            <x v="22"/>
          </reference>
          <reference field="1" count="1">
            <x v="4"/>
          </reference>
        </references>
      </pivotArea>
    </format>
    <format dxfId="3754">
      <pivotArea dataOnly="0" labelOnly="1" fieldPosition="0">
        <references count="2">
          <reference field="0" count="1" selected="0">
            <x v="23"/>
          </reference>
          <reference field="1" count="1">
            <x v="5"/>
          </reference>
        </references>
      </pivotArea>
    </format>
    <format dxfId="3753">
      <pivotArea dataOnly="0" labelOnly="1" fieldPosition="0">
        <references count="2">
          <reference field="0" count="1" selected="0">
            <x v="24"/>
          </reference>
          <reference field="1" count="1">
            <x v="6"/>
          </reference>
        </references>
      </pivotArea>
    </format>
    <format dxfId="3752">
      <pivotArea dataOnly="0" labelOnly="1" fieldPosition="0">
        <references count="2">
          <reference field="0" count="1" selected="0">
            <x v="25"/>
          </reference>
          <reference field="1" count="1">
            <x v="35"/>
          </reference>
        </references>
      </pivotArea>
    </format>
    <format dxfId="3751">
      <pivotArea dataOnly="0" labelOnly="1" fieldPosition="0">
        <references count="2">
          <reference field="0" count="1" selected="0">
            <x v="26"/>
          </reference>
          <reference field="1" count="1">
            <x v="9"/>
          </reference>
        </references>
      </pivotArea>
    </format>
    <format dxfId="3750">
      <pivotArea dataOnly="0" labelOnly="1" fieldPosition="0">
        <references count="2">
          <reference field="0" count="1" selected="0">
            <x v="27"/>
          </reference>
          <reference field="1" count="1">
            <x v="10"/>
          </reference>
        </references>
      </pivotArea>
    </format>
    <format dxfId="3749">
      <pivotArea dataOnly="0" labelOnly="1" fieldPosition="0">
        <references count="2">
          <reference field="0" count="1" selected="0">
            <x v="28"/>
          </reference>
          <reference field="1" count="1">
            <x v="39"/>
          </reference>
        </references>
      </pivotArea>
    </format>
    <format dxfId="3748">
      <pivotArea dataOnly="0" labelOnly="1" fieldPosition="0">
        <references count="2">
          <reference field="0" count="1" selected="0">
            <x v="29"/>
          </reference>
          <reference field="1" count="1">
            <x v="23"/>
          </reference>
        </references>
      </pivotArea>
    </format>
    <format dxfId="3747">
      <pivotArea dataOnly="0" labelOnly="1" fieldPosition="0">
        <references count="2">
          <reference field="0" count="1" selected="0">
            <x v="30"/>
          </reference>
          <reference field="1" count="1">
            <x v="22"/>
          </reference>
        </references>
      </pivotArea>
    </format>
    <format dxfId="3746">
      <pivotArea dataOnly="0" labelOnly="1" fieldPosition="0">
        <references count="2">
          <reference field="0" count="1" selected="0">
            <x v="31"/>
          </reference>
          <reference field="1" count="1">
            <x v="21"/>
          </reference>
        </references>
      </pivotArea>
    </format>
    <format dxfId="3745">
      <pivotArea dataOnly="0" labelOnly="1" fieldPosition="0">
        <references count="2">
          <reference field="0" count="1" selected="0">
            <x v="32"/>
          </reference>
          <reference field="1" count="1">
            <x v="19"/>
          </reference>
        </references>
      </pivotArea>
    </format>
    <format dxfId="3744">
      <pivotArea dataOnly="0" labelOnly="1" fieldPosition="0">
        <references count="2">
          <reference field="0" count="1" selected="0">
            <x v="33"/>
          </reference>
          <reference field="1" count="1">
            <x v="20"/>
          </reference>
        </references>
      </pivotArea>
    </format>
    <format dxfId="3743">
      <pivotArea dataOnly="0" labelOnly="1" fieldPosition="0">
        <references count="2">
          <reference field="0" count="1" selected="0">
            <x v="34"/>
          </reference>
          <reference field="1" count="1">
            <x v="16"/>
          </reference>
        </references>
      </pivotArea>
    </format>
    <format dxfId="3742">
      <pivotArea dataOnly="0" labelOnly="1" fieldPosition="0">
        <references count="2">
          <reference field="0" count="1" selected="0">
            <x v="35"/>
          </reference>
          <reference field="1" count="1">
            <x v="17"/>
          </reference>
        </references>
      </pivotArea>
    </format>
    <format dxfId="3741">
      <pivotArea dataOnly="0" labelOnly="1" fieldPosition="0">
        <references count="2">
          <reference field="0" count="1" selected="0">
            <x v="36"/>
          </reference>
          <reference field="1" count="1">
            <x v="15"/>
          </reference>
        </references>
      </pivotArea>
    </format>
    <format dxfId="3740">
      <pivotArea dataOnly="0" labelOnly="1" fieldPosition="0">
        <references count="2">
          <reference field="0" count="1" selected="0">
            <x v="37"/>
          </reference>
          <reference field="1" count="1">
            <x v="18"/>
          </reference>
        </references>
      </pivotArea>
    </format>
    <format dxfId="3739">
      <pivotArea dataOnly="0" labelOnly="1" fieldPosition="0">
        <references count="2">
          <reference field="0" count="1" selected="0">
            <x v="38"/>
          </reference>
          <reference field="1" count="1">
            <x v="44"/>
          </reference>
        </references>
      </pivotArea>
    </format>
    <format dxfId="3738">
      <pivotArea dataOnly="0" labelOnly="1" fieldPosition="0">
        <references count="2">
          <reference field="0" count="1" selected="0">
            <x v="39"/>
          </reference>
          <reference field="1" count="1">
            <x v="43"/>
          </reference>
        </references>
      </pivotArea>
    </format>
    <format dxfId="3737">
      <pivotArea dataOnly="0" labelOnly="1" fieldPosition="0">
        <references count="2">
          <reference field="0" count="1" selected="0">
            <x v="40"/>
          </reference>
          <reference field="1" count="1">
            <x v="49"/>
          </reference>
        </references>
      </pivotArea>
    </format>
    <format dxfId="3736">
      <pivotArea dataOnly="0" labelOnly="1" fieldPosition="0">
        <references count="2">
          <reference field="0" count="1" selected="0">
            <x v="41"/>
          </reference>
          <reference field="1" count="1">
            <x v="46"/>
          </reference>
        </references>
      </pivotArea>
    </format>
    <format dxfId="3735">
      <pivotArea dataOnly="0" labelOnly="1" fieldPosition="0">
        <references count="2">
          <reference field="0" count="1" selected="0">
            <x v="42"/>
          </reference>
          <reference field="1" count="1">
            <x v="48"/>
          </reference>
        </references>
      </pivotArea>
    </format>
    <format dxfId="3734">
      <pivotArea dataOnly="0" labelOnly="1" fieldPosition="0">
        <references count="2">
          <reference field="0" count="1" selected="0">
            <x v="43"/>
          </reference>
          <reference field="1" count="1">
            <x v="47"/>
          </reference>
        </references>
      </pivotArea>
    </format>
    <format dxfId="3733">
      <pivotArea dataOnly="0" labelOnly="1" fieldPosition="0">
        <references count="2">
          <reference field="0" count="1" selected="0">
            <x v="44"/>
          </reference>
          <reference field="1" count="1">
            <x v="37"/>
          </reference>
        </references>
      </pivotArea>
    </format>
    <format dxfId="3732">
      <pivotArea dataOnly="0" labelOnly="1" fieldPosition="0">
        <references count="2">
          <reference field="0" count="1" selected="0">
            <x v="45"/>
          </reference>
          <reference field="1" count="1">
            <x v="0"/>
          </reference>
        </references>
      </pivotArea>
    </format>
    <format dxfId="3731">
      <pivotArea dataOnly="0" labelOnly="1" fieldPosition="0">
        <references count="2">
          <reference field="0" count="1" selected="0">
            <x v="46"/>
          </reference>
          <reference field="1" count="1">
            <x v="38"/>
          </reference>
        </references>
      </pivotArea>
    </format>
    <format dxfId="3730">
      <pivotArea dataOnly="0" labelOnly="1" fieldPosition="0">
        <references count="2">
          <reference field="0" count="1" selected="0">
            <x v="47"/>
          </reference>
          <reference field="1" count="1">
            <x v="7"/>
          </reference>
        </references>
      </pivotArea>
    </format>
    <format dxfId="3729">
      <pivotArea dataOnly="0" labelOnly="1" fieldPosition="0">
        <references count="2">
          <reference field="0" count="1" selected="0">
            <x v="48"/>
          </reference>
          <reference field="1" count="1">
            <x v="8"/>
          </reference>
        </references>
      </pivotArea>
    </format>
    <format dxfId="3728">
      <pivotArea dataOnly="0" labelOnly="1" fieldPosition="0">
        <references count="2">
          <reference field="0" count="1" selected="0">
            <x v="49"/>
          </reference>
          <reference field="1" count="1">
            <x v="42"/>
          </reference>
        </references>
      </pivotArea>
    </format>
    <format dxfId="3727">
      <pivotArea dataOnly="0" labelOnly="1" fieldPosition="0">
        <references count="3">
          <reference field="0" count="1" selected="0">
            <x v="0"/>
          </reference>
          <reference field="1" count="1" selected="0">
            <x v="32"/>
          </reference>
          <reference field="12" count="1">
            <x v="0"/>
          </reference>
        </references>
      </pivotArea>
    </format>
    <format dxfId="3726">
      <pivotArea dataOnly="0" labelOnly="1" fieldPosition="0">
        <references count="3">
          <reference field="0" count="1" selected="0">
            <x v="1"/>
          </reference>
          <reference field="1" count="1" selected="0">
            <x v="33"/>
          </reference>
          <reference field="12" count="1">
            <x v="18"/>
          </reference>
        </references>
      </pivotArea>
    </format>
    <format dxfId="3725">
      <pivotArea dataOnly="0" labelOnly="1" fieldPosition="0">
        <references count="3">
          <reference field="0" count="1" selected="0">
            <x v="2"/>
          </reference>
          <reference field="1" count="1" selected="0">
            <x v="45"/>
          </reference>
          <reference field="12" count="1">
            <x v="10"/>
          </reference>
        </references>
      </pivotArea>
    </format>
    <format dxfId="3724">
      <pivotArea dataOnly="0" labelOnly="1" fieldPosition="0">
        <references count="3">
          <reference field="0" count="1" selected="0">
            <x v="3"/>
          </reference>
          <reference field="1" count="1" selected="0">
            <x v="34"/>
          </reference>
          <reference field="12" count="1">
            <x v="7"/>
          </reference>
        </references>
      </pivotArea>
    </format>
    <format dxfId="3723">
      <pivotArea dataOnly="0" labelOnly="1" fieldPosition="0">
        <references count="3">
          <reference field="0" count="1" selected="0">
            <x v="4"/>
          </reference>
          <reference field="1" count="1" selected="0">
            <x v="3"/>
          </reference>
          <reference field="12" count="1">
            <x v="5"/>
          </reference>
        </references>
      </pivotArea>
    </format>
    <format dxfId="3722">
      <pivotArea dataOnly="0" labelOnly="1" fieldPosition="0">
        <references count="3">
          <reference field="0" count="1" selected="0">
            <x v="5"/>
          </reference>
          <reference field="1" count="1" selected="0">
            <x v="26"/>
          </reference>
          <reference field="12" count="1">
            <x v="19"/>
          </reference>
        </references>
      </pivotArea>
    </format>
    <format dxfId="3721">
      <pivotArea dataOnly="0" labelOnly="1" fieldPosition="0">
        <references count="3">
          <reference field="0" count="1" selected="0">
            <x v="6"/>
          </reference>
          <reference field="1" count="1" selected="0">
            <x v="31"/>
          </reference>
          <reference field="12" count="1">
            <x v="9"/>
          </reference>
        </references>
      </pivotArea>
    </format>
    <format dxfId="3720">
      <pivotArea dataOnly="0" labelOnly="1" fieldPosition="0">
        <references count="3">
          <reference field="0" count="1" selected="0">
            <x v="7"/>
          </reference>
          <reference field="1" count="1" selected="0">
            <x v="27"/>
          </reference>
          <reference field="12" count="1">
            <x v="30"/>
          </reference>
        </references>
      </pivotArea>
    </format>
    <format dxfId="3719">
      <pivotArea dataOnly="0" labelOnly="1" fieldPosition="0">
        <references count="3">
          <reference field="0" count="1" selected="0">
            <x v="8"/>
          </reference>
          <reference field="1" count="1" selected="0">
            <x v="30"/>
          </reference>
          <reference field="12" count="1">
            <x v="41"/>
          </reference>
        </references>
      </pivotArea>
    </format>
    <format dxfId="3718">
      <pivotArea dataOnly="0" labelOnly="1" fieldPosition="0">
        <references count="3">
          <reference field="0" count="1" selected="0">
            <x v="9"/>
          </reference>
          <reference field="1" count="1" selected="0">
            <x v="28"/>
          </reference>
          <reference field="12" count="1">
            <x v="38"/>
          </reference>
        </references>
      </pivotArea>
    </format>
    <format dxfId="3717">
      <pivotArea dataOnly="0" labelOnly="1" fieldPosition="0">
        <references count="3">
          <reference field="0" count="1" selected="0">
            <x v="10"/>
          </reference>
          <reference field="1" count="1" selected="0">
            <x v="41"/>
          </reference>
          <reference field="12" count="1">
            <x v="23"/>
          </reference>
        </references>
      </pivotArea>
    </format>
    <format dxfId="3716">
      <pivotArea dataOnly="0" labelOnly="1" fieldPosition="0">
        <references count="3">
          <reference field="0" count="1" selected="0">
            <x v="11"/>
          </reference>
          <reference field="1" count="1" selected="0">
            <x v="29"/>
          </reference>
          <reference field="12" count="1">
            <x v="49"/>
          </reference>
        </references>
      </pivotArea>
    </format>
    <format dxfId="3715">
      <pivotArea dataOnly="0" labelOnly="1" fieldPosition="0">
        <references count="3">
          <reference field="0" count="1" selected="0">
            <x v="12"/>
          </reference>
          <reference field="1" count="1" selected="0">
            <x v="36"/>
          </reference>
          <reference field="12" count="1">
            <x v="37"/>
          </reference>
        </references>
      </pivotArea>
    </format>
    <format dxfId="3714">
      <pivotArea dataOnly="0" labelOnly="1" fieldPosition="0">
        <references count="3">
          <reference field="0" count="1" selected="0">
            <x v="13"/>
          </reference>
          <reference field="1" count="1" selected="0">
            <x v="11"/>
          </reference>
          <reference field="12" count="1">
            <x v="47"/>
          </reference>
        </references>
      </pivotArea>
    </format>
    <format dxfId="3713">
      <pivotArea dataOnly="0" labelOnly="1" fieldPosition="0">
        <references count="3">
          <reference field="0" count="1" selected="0">
            <x v="14"/>
          </reference>
          <reference field="1" count="1" selected="0">
            <x v="40"/>
          </reference>
          <reference field="12" count="1">
            <x v="36"/>
          </reference>
        </references>
      </pivotArea>
    </format>
    <format dxfId="3712">
      <pivotArea dataOnly="0" labelOnly="1" fieldPosition="0">
        <references count="3">
          <reference field="0" count="1" selected="0">
            <x v="15"/>
          </reference>
          <reference field="1" count="1" selected="0">
            <x v="12"/>
          </reference>
          <reference field="12" count="1">
            <x v="4"/>
          </reference>
        </references>
      </pivotArea>
    </format>
    <format dxfId="3711">
      <pivotArea dataOnly="0" labelOnly="1" fieldPosition="0">
        <references count="3">
          <reference field="0" count="1" selected="0">
            <x v="16"/>
          </reference>
          <reference field="1" count="1" selected="0">
            <x v="13"/>
          </reference>
          <reference field="12" count="1">
            <x v="42"/>
          </reference>
        </references>
      </pivotArea>
    </format>
    <format dxfId="3710">
      <pivotArea dataOnly="0" labelOnly="1" fieldPosition="0">
        <references count="3">
          <reference field="0" count="1" selected="0">
            <x v="17"/>
          </reference>
          <reference field="1" count="1" selected="0">
            <x v="14"/>
          </reference>
          <reference field="12" count="1">
            <x v="44"/>
          </reference>
        </references>
      </pivotArea>
    </format>
    <format dxfId="3709">
      <pivotArea dataOnly="0" labelOnly="1" fieldPosition="0">
        <references count="3">
          <reference field="0" count="1" selected="0">
            <x v="18"/>
          </reference>
          <reference field="1" count="1" selected="0">
            <x v="2"/>
          </reference>
          <reference field="12" count="1">
            <x v="31"/>
          </reference>
        </references>
      </pivotArea>
    </format>
    <format dxfId="3708">
      <pivotArea dataOnly="0" labelOnly="1" fieldPosition="0">
        <references count="3">
          <reference field="0" count="1" selected="0">
            <x v="19"/>
          </reference>
          <reference field="1" count="1" selected="0">
            <x v="24"/>
          </reference>
          <reference field="12" count="1">
            <x v="12"/>
          </reference>
        </references>
      </pivotArea>
    </format>
    <format dxfId="3707">
      <pivotArea dataOnly="0" labelOnly="1" fieldPosition="0">
        <references count="3">
          <reference field="0" count="1" selected="0">
            <x v="20"/>
          </reference>
          <reference field="1" count="1" selected="0">
            <x v="25"/>
          </reference>
          <reference field="12" count="1">
            <x v="35"/>
          </reference>
        </references>
      </pivotArea>
    </format>
    <format dxfId="3706">
      <pivotArea dataOnly="0" labelOnly="1" fieldPosition="0">
        <references count="3">
          <reference field="0" count="1" selected="0">
            <x v="21"/>
          </reference>
          <reference field="1" count="1" selected="0">
            <x v="1"/>
          </reference>
          <reference field="12" count="1">
            <x v="25"/>
          </reference>
        </references>
      </pivotArea>
    </format>
    <format dxfId="3705">
      <pivotArea dataOnly="0" labelOnly="1" fieldPosition="0">
        <references count="3">
          <reference field="0" count="1" selected="0">
            <x v="22"/>
          </reference>
          <reference field="1" count="1" selected="0">
            <x v="4"/>
          </reference>
          <reference field="12" count="1">
            <x v="46"/>
          </reference>
        </references>
      </pivotArea>
    </format>
    <format dxfId="3704">
      <pivotArea dataOnly="0" labelOnly="1" fieldPosition="0">
        <references count="3">
          <reference field="0" count="1" selected="0">
            <x v="23"/>
          </reference>
          <reference field="1" count="1" selected="0">
            <x v="5"/>
          </reference>
          <reference field="12" count="1">
            <x v="3"/>
          </reference>
        </references>
      </pivotArea>
    </format>
    <format dxfId="3703">
      <pivotArea dataOnly="0" labelOnly="1" fieldPosition="0">
        <references count="3">
          <reference field="0" count="1" selected="0">
            <x v="24"/>
          </reference>
          <reference field="1" count="1" selected="0">
            <x v="6"/>
          </reference>
          <reference field="12" count="1">
            <x v="1"/>
          </reference>
        </references>
      </pivotArea>
    </format>
    <format dxfId="3702">
      <pivotArea dataOnly="0" labelOnly="1" fieldPosition="0">
        <references count="3">
          <reference field="0" count="1" selected="0">
            <x v="25"/>
          </reference>
          <reference field="1" count="1" selected="0">
            <x v="35"/>
          </reference>
          <reference field="12" count="1">
            <x v="34"/>
          </reference>
        </references>
      </pivotArea>
    </format>
    <format dxfId="3701">
      <pivotArea dataOnly="0" labelOnly="1" fieldPosition="0">
        <references count="3">
          <reference field="0" count="1" selected="0">
            <x v="26"/>
          </reference>
          <reference field="1" count="1" selected="0">
            <x v="9"/>
          </reference>
          <reference field="12" count="1">
            <x v="48"/>
          </reference>
        </references>
      </pivotArea>
    </format>
    <format dxfId="3700">
      <pivotArea dataOnly="0" labelOnly="1" fieldPosition="0">
        <references count="3">
          <reference field="0" count="1" selected="0">
            <x v="27"/>
          </reference>
          <reference field="1" count="1" selected="0">
            <x v="10"/>
          </reference>
          <reference field="12" count="1">
            <x v="14"/>
          </reference>
        </references>
      </pivotArea>
    </format>
    <format dxfId="3699">
      <pivotArea dataOnly="0" labelOnly="1" fieldPosition="0">
        <references count="3">
          <reference field="0" count="1" selected="0">
            <x v="28"/>
          </reference>
          <reference field="1" count="1" selected="0">
            <x v="39"/>
          </reference>
          <reference field="12" count="1">
            <x v="32"/>
          </reference>
        </references>
      </pivotArea>
    </format>
    <format dxfId="3698">
      <pivotArea dataOnly="0" labelOnly="1" fieldPosition="0">
        <references count="3">
          <reference field="0" count="1" selected="0">
            <x v="29"/>
          </reference>
          <reference field="1" count="1" selected="0">
            <x v="23"/>
          </reference>
          <reference field="12" count="1">
            <x v="22"/>
          </reference>
        </references>
      </pivotArea>
    </format>
    <format dxfId="3697">
      <pivotArea dataOnly="0" labelOnly="1" fieldPosition="0">
        <references count="3">
          <reference field="0" count="1" selected="0">
            <x v="30"/>
          </reference>
          <reference field="1" count="1" selected="0">
            <x v="22"/>
          </reference>
          <reference field="12" count="1">
            <x v="8"/>
          </reference>
        </references>
      </pivotArea>
    </format>
    <format dxfId="3696">
      <pivotArea dataOnly="0" labelOnly="1" fieldPosition="0">
        <references count="3">
          <reference field="0" count="1" selected="0">
            <x v="31"/>
          </reference>
          <reference field="1" count="1" selected="0">
            <x v="21"/>
          </reference>
          <reference field="12" count="1">
            <x v="6"/>
          </reference>
        </references>
      </pivotArea>
    </format>
    <format dxfId="3695">
      <pivotArea dataOnly="0" labelOnly="1" fieldPosition="0">
        <references count="3">
          <reference field="0" count="1" selected="0">
            <x v="32"/>
          </reference>
          <reference field="1" count="1" selected="0">
            <x v="19"/>
          </reference>
          <reference field="12" count="1">
            <x v="45"/>
          </reference>
        </references>
      </pivotArea>
    </format>
    <format dxfId="3694">
      <pivotArea dataOnly="0" labelOnly="1" fieldPosition="0">
        <references count="3">
          <reference field="0" count="1" selected="0">
            <x v="33"/>
          </reference>
          <reference field="1" count="1" selected="0">
            <x v="20"/>
          </reference>
          <reference field="12" count="1">
            <x v="17"/>
          </reference>
        </references>
      </pivotArea>
    </format>
    <format dxfId="3693">
      <pivotArea dataOnly="0" labelOnly="1" fieldPosition="0">
        <references count="3">
          <reference field="0" count="1" selected="0">
            <x v="34"/>
          </reference>
          <reference field="1" count="1" selected="0">
            <x v="16"/>
          </reference>
          <reference field="12" count="1">
            <x v="16"/>
          </reference>
        </references>
      </pivotArea>
    </format>
    <format dxfId="3692">
      <pivotArea dataOnly="0" labelOnly="1" fieldPosition="0">
        <references count="3">
          <reference field="0" count="1" selected="0">
            <x v="35"/>
          </reference>
          <reference field="1" count="1" selected="0">
            <x v="17"/>
          </reference>
          <reference field="12" count="1">
            <x v="15"/>
          </reference>
        </references>
      </pivotArea>
    </format>
    <format dxfId="3691">
      <pivotArea dataOnly="0" labelOnly="1" fieldPosition="0">
        <references count="3">
          <reference field="0" count="1" selected="0">
            <x v="36"/>
          </reference>
          <reference field="1" count="1" selected="0">
            <x v="15"/>
          </reference>
          <reference field="12" count="1">
            <x v="20"/>
          </reference>
        </references>
      </pivotArea>
    </format>
    <format dxfId="3690">
      <pivotArea dataOnly="0" labelOnly="1" fieldPosition="0">
        <references count="3">
          <reference field="0" count="1" selected="0">
            <x v="37"/>
          </reference>
          <reference field="1" count="1" selected="0">
            <x v="18"/>
          </reference>
          <reference field="12" count="1">
            <x v="13"/>
          </reference>
        </references>
      </pivotArea>
    </format>
    <format dxfId="3689">
      <pivotArea dataOnly="0" labelOnly="1" fieldPosition="0">
        <references count="3">
          <reference field="0" count="1" selected="0">
            <x v="38"/>
          </reference>
          <reference field="1" count="1" selected="0">
            <x v="44"/>
          </reference>
          <reference field="12" count="1">
            <x v="43"/>
          </reference>
        </references>
      </pivotArea>
    </format>
    <format dxfId="3688">
      <pivotArea dataOnly="0" labelOnly="1" fieldPosition="0">
        <references count="3">
          <reference field="0" count="1" selected="0">
            <x v="39"/>
          </reference>
          <reference field="1" count="1" selected="0">
            <x v="43"/>
          </reference>
          <reference field="12" count="1">
            <x v="28"/>
          </reference>
        </references>
      </pivotArea>
    </format>
    <format dxfId="3687">
      <pivotArea dataOnly="0" labelOnly="1" fieldPosition="0">
        <references count="3">
          <reference field="0" count="1" selected="0">
            <x v="40"/>
          </reference>
          <reference field="1" count="1" selected="0">
            <x v="49"/>
          </reference>
          <reference field="12" count="1">
            <x v="24"/>
          </reference>
        </references>
      </pivotArea>
    </format>
    <format dxfId="3686">
      <pivotArea dataOnly="0" labelOnly="1" fieldPosition="0">
        <references count="3">
          <reference field="0" count="1" selected="0">
            <x v="41"/>
          </reference>
          <reference field="1" count="1" selected="0">
            <x v="46"/>
          </reference>
          <reference field="12" count="1">
            <x v="11"/>
          </reference>
        </references>
      </pivotArea>
    </format>
    <format dxfId="3685">
      <pivotArea dataOnly="0" labelOnly="1" fieldPosition="0">
        <references count="3">
          <reference field="0" count="1" selected="0">
            <x v="42"/>
          </reference>
          <reference field="1" count="1" selected="0">
            <x v="48"/>
          </reference>
          <reference field="12" count="1">
            <x v="2"/>
          </reference>
        </references>
      </pivotArea>
    </format>
    <format dxfId="3684">
      <pivotArea dataOnly="0" labelOnly="1" fieldPosition="0">
        <references count="3">
          <reference field="0" count="1" selected="0">
            <x v="43"/>
          </reference>
          <reference field="1" count="1" selected="0">
            <x v="47"/>
          </reference>
          <reference field="12" count="1">
            <x v="21"/>
          </reference>
        </references>
      </pivotArea>
    </format>
    <format dxfId="3683">
      <pivotArea dataOnly="0" labelOnly="1" fieldPosition="0">
        <references count="3">
          <reference field="0" count="1" selected="0">
            <x v="44"/>
          </reference>
          <reference field="1" count="1" selected="0">
            <x v="37"/>
          </reference>
          <reference field="12" count="1">
            <x v="29"/>
          </reference>
        </references>
      </pivotArea>
    </format>
    <format dxfId="3682">
      <pivotArea dataOnly="0" labelOnly="1" fieldPosition="0">
        <references count="3">
          <reference field="0" count="1" selected="0">
            <x v="45"/>
          </reference>
          <reference field="1" count="1" selected="0">
            <x v="0"/>
          </reference>
          <reference field="12" count="1">
            <x v="27"/>
          </reference>
        </references>
      </pivotArea>
    </format>
    <format dxfId="3681">
      <pivotArea dataOnly="0" labelOnly="1" fieldPosition="0">
        <references count="3">
          <reference field="0" count="1" selected="0">
            <x v="46"/>
          </reference>
          <reference field="1" count="1" selected="0">
            <x v="38"/>
          </reference>
          <reference field="12" count="1">
            <x v="33"/>
          </reference>
        </references>
      </pivotArea>
    </format>
    <format dxfId="3680">
      <pivotArea dataOnly="0" labelOnly="1" fieldPosition="0">
        <references count="3">
          <reference field="0" count="1" selected="0">
            <x v="47"/>
          </reference>
          <reference field="1" count="1" selected="0">
            <x v="7"/>
          </reference>
          <reference field="12" count="1">
            <x v="40"/>
          </reference>
        </references>
      </pivotArea>
    </format>
    <format dxfId="3679">
      <pivotArea dataOnly="0" labelOnly="1" fieldPosition="0">
        <references count="3">
          <reference field="0" count="1" selected="0">
            <x v="48"/>
          </reference>
          <reference field="1" count="1" selected="0">
            <x v="8"/>
          </reference>
          <reference field="12" count="1">
            <x v="26"/>
          </reference>
        </references>
      </pivotArea>
    </format>
    <format dxfId="3678">
      <pivotArea dataOnly="0" labelOnly="1" fieldPosition="0">
        <references count="3">
          <reference field="0" count="1" selected="0">
            <x v="49"/>
          </reference>
          <reference field="1" count="1" selected="0">
            <x v="42"/>
          </reference>
          <reference field="12" count="1">
            <x v="39"/>
          </reference>
        </references>
      </pivotArea>
    </format>
    <format dxfId="3677">
      <pivotArea dataOnly="0" labelOnly="1" fieldPosition="0">
        <references count="4">
          <reference field="0" count="1" selected="0">
            <x v="0"/>
          </reference>
          <reference field="1" count="1" selected="0">
            <x v="32"/>
          </reference>
          <reference field="8" count="1">
            <x v="0"/>
          </reference>
          <reference field="12" count="1" selected="0">
            <x v="0"/>
          </reference>
        </references>
      </pivotArea>
    </format>
    <format dxfId="3676">
      <pivotArea dataOnly="0" labelOnly="1" fieldPosition="0">
        <references count="4">
          <reference field="0" count="1" selected="0">
            <x v="1"/>
          </reference>
          <reference field="1" count="1" selected="0">
            <x v="33"/>
          </reference>
          <reference field="8" count="1">
            <x v="0"/>
          </reference>
          <reference field="12" count="1" selected="0">
            <x v="18"/>
          </reference>
        </references>
      </pivotArea>
    </format>
    <format dxfId="3675">
      <pivotArea dataOnly="0" labelOnly="1" fieldPosition="0">
        <references count="4">
          <reference field="0" count="1" selected="0">
            <x v="2"/>
          </reference>
          <reference field="1" count="1" selected="0">
            <x v="45"/>
          </reference>
          <reference field="8" count="1">
            <x v="1"/>
          </reference>
          <reference field="12" count="1" selected="0">
            <x v="10"/>
          </reference>
        </references>
      </pivotArea>
    </format>
    <format dxfId="3674">
      <pivotArea dataOnly="0" labelOnly="1" fieldPosition="0">
        <references count="4">
          <reference field="0" count="1" selected="0">
            <x v="3"/>
          </reference>
          <reference field="1" count="1" selected="0">
            <x v="34"/>
          </reference>
          <reference field="8" count="1">
            <x v="0"/>
          </reference>
          <reference field="12" count="1" selected="0">
            <x v="7"/>
          </reference>
        </references>
      </pivotArea>
    </format>
    <format dxfId="3673">
      <pivotArea dataOnly="0" labelOnly="1" fieldPosition="0">
        <references count="4">
          <reference field="0" count="1" selected="0">
            <x v="4"/>
          </reference>
          <reference field="1" count="1" selected="0">
            <x v="3"/>
          </reference>
          <reference field="8" count="1">
            <x v="1"/>
          </reference>
          <reference field="12" count="1" selected="0">
            <x v="5"/>
          </reference>
        </references>
      </pivotArea>
    </format>
    <format dxfId="3672">
      <pivotArea dataOnly="0" labelOnly="1" fieldPosition="0">
        <references count="4">
          <reference field="0" count="1" selected="0">
            <x v="5"/>
          </reference>
          <reference field="1" count="1" selected="0">
            <x v="26"/>
          </reference>
          <reference field="8" count="1">
            <x v="1"/>
          </reference>
          <reference field="12" count="1" selected="0">
            <x v="19"/>
          </reference>
        </references>
      </pivotArea>
    </format>
    <format dxfId="3671">
      <pivotArea dataOnly="0" labelOnly="1" fieldPosition="0">
        <references count="4">
          <reference field="0" count="1" selected="0">
            <x v="6"/>
          </reference>
          <reference field="1" count="1" selected="0">
            <x v="31"/>
          </reference>
          <reference field="8" count="1">
            <x v="0"/>
          </reference>
          <reference field="12" count="1" selected="0">
            <x v="9"/>
          </reference>
        </references>
      </pivotArea>
    </format>
    <format dxfId="3670">
      <pivotArea dataOnly="0" labelOnly="1" fieldPosition="0">
        <references count="4">
          <reference field="0" count="1" selected="0">
            <x v="7"/>
          </reference>
          <reference field="1" count="1" selected="0">
            <x v="27"/>
          </reference>
          <reference field="8" count="1">
            <x v="1"/>
          </reference>
          <reference field="12" count="1" selected="0">
            <x v="30"/>
          </reference>
        </references>
      </pivotArea>
    </format>
    <format dxfId="3669">
      <pivotArea dataOnly="0" labelOnly="1" fieldPosition="0">
        <references count="4">
          <reference field="0" count="1" selected="0">
            <x v="8"/>
          </reference>
          <reference field="1" count="1" selected="0">
            <x v="30"/>
          </reference>
          <reference field="8" count="1">
            <x v="0"/>
          </reference>
          <reference field="12" count="1" selected="0">
            <x v="41"/>
          </reference>
        </references>
      </pivotArea>
    </format>
    <format dxfId="3668">
      <pivotArea dataOnly="0" labelOnly="1" fieldPosition="0">
        <references count="4">
          <reference field="0" count="1" selected="0">
            <x v="9"/>
          </reference>
          <reference field="1" count="1" selected="0">
            <x v="28"/>
          </reference>
          <reference field="8" count="1">
            <x v="1"/>
          </reference>
          <reference field="12" count="1" selected="0">
            <x v="38"/>
          </reference>
        </references>
      </pivotArea>
    </format>
    <format dxfId="3667">
      <pivotArea dataOnly="0" labelOnly="1" fieldPosition="0">
        <references count="4">
          <reference field="0" count="1" selected="0">
            <x v="10"/>
          </reference>
          <reference field="1" count="1" selected="0">
            <x v="41"/>
          </reference>
          <reference field="8" count="1">
            <x v="1"/>
          </reference>
          <reference field="12" count="1" selected="0">
            <x v="23"/>
          </reference>
        </references>
      </pivotArea>
    </format>
    <format dxfId="3666">
      <pivotArea dataOnly="0" labelOnly="1" fieldPosition="0">
        <references count="4">
          <reference field="0" count="1" selected="0">
            <x v="11"/>
          </reference>
          <reference field="1" count="1" selected="0">
            <x v="29"/>
          </reference>
          <reference field="8" count="1">
            <x v="0"/>
          </reference>
          <reference field="12" count="1" selected="0">
            <x v="49"/>
          </reference>
        </references>
      </pivotArea>
    </format>
    <format dxfId="3665">
      <pivotArea dataOnly="0" labelOnly="1" fieldPosition="0">
        <references count="4">
          <reference field="0" count="1" selected="0">
            <x v="12"/>
          </reference>
          <reference field="1" count="1" selected="0">
            <x v="36"/>
          </reference>
          <reference field="8" count="1">
            <x v="0"/>
          </reference>
          <reference field="12" count="1" selected="0">
            <x v="37"/>
          </reference>
        </references>
      </pivotArea>
    </format>
    <format dxfId="3664">
      <pivotArea dataOnly="0" labelOnly="1" fieldPosition="0">
        <references count="4">
          <reference field="0" count="1" selected="0">
            <x v="13"/>
          </reference>
          <reference field="1" count="1" selected="0">
            <x v="11"/>
          </reference>
          <reference field="8" count="1">
            <x v="1"/>
          </reference>
          <reference field="12" count="1" selected="0">
            <x v="47"/>
          </reference>
        </references>
      </pivotArea>
    </format>
    <format dxfId="3663">
      <pivotArea dataOnly="0" labelOnly="1" fieldPosition="0">
        <references count="4">
          <reference field="0" count="1" selected="0">
            <x v="14"/>
          </reference>
          <reference field="1" count="1" selected="0">
            <x v="40"/>
          </reference>
          <reference field="8" count="1">
            <x v="0"/>
          </reference>
          <reference field="12" count="1" selected="0">
            <x v="36"/>
          </reference>
        </references>
      </pivotArea>
    </format>
    <format dxfId="3662">
      <pivotArea dataOnly="0" labelOnly="1" fieldPosition="0">
        <references count="4">
          <reference field="0" count="1" selected="0">
            <x v="15"/>
          </reference>
          <reference field="1" count="1" selected="0">
            <x v="12"/>
          </reference>
          <reference field="8" count="1">
            <x v="1"/>
          </reference>
          <reference field="12" count="1" selected="0">
            <x v="4"/>
          </reference>
        </references>
      </pivotArea>
    </format>
    <format dxfId="3661">
      <pivotArea dataOnly="0" labelOnly="1" fieldPosition="0">
        <references count="4">
          <reference field="0" count="1" selected="0">
            <x v="16"/>
          </reference>
          <reference field="1" count="1" selected="0">
            <x v="13"/>
          </reference>
          <reference field="8" count="1">
            <x v="1"/>
          </reference>
          <reference field="12" count="1" selected="0">
            <x v="42"/>
          </reference>
        </references>
      </pivotArea>
    </format>
    <format dxfId="3660">
      <pivotArea dataOnly="0" labelOnly="1" fieldPosition="0">
        <references count="4">
          <reference field="0" count="1" selected="0">
            <x v="17"/>
          </reference>
          <reference field="1" count="1" selected="0">
            <x v="14"/>
          </reference>
          <reference field="8" count="1">
            <x v="1"/>
          </reference>
          <reference field="12" count="1" selected="0">
            <x v="44"/>
          </reference>
        </references>
      </pivotArea>
    </format>
    <format dxfId="3659">
      <pivotArea dataOnly="0" labelOnly="1" fieldPosition="0">
        <references count="4">
          <reference field="0" count="1" selected="0">
            <x v="18"/>
          </reference>
          <reference field="1" count="1" selected="0">
            <x v="2"/>
          </reference>
          <reference field="8" count="1">
            <x v="0"/>
          </reference>
          <reference field="12" count="1" selected="0">
            <x v="31"/>
          </reference>
        </references>
      </pivotArea>
    </format>
    <format dxfId="3658">
      <pivotArea dataOnly="0" labelOnly="1" fieldPosition="0">
        <references count="4">
          <reference field="0" count="1" selected="0">
            <x v="19"/>
          </reference>
          <reference field="1" count="1" selected="0">
            <x v="24"/>
          </reference>
          <reference field="8" count="1">
            <x v="1"/>
          </reference>
          <reference field="12" count="1" selected="0">
            <x v="12"/>
          </reference>
        </references>
      </pivotArea>
    </format>
    <format dxfId="3657">
      <pivotArea dataOnly="0" labelOnly="1" fieldPosition="0">
        <references count="4">
          <reference field="0" count="1" selected="0">
            <x v="20"/>
          </reference>
          <reference field="1" count="1" selected="0">
            <x v="25"/>
          </reference>
          <reference field="8" count="1">
            <x v="1"/>
          </reference>
          <reference field="12" count="1" selected="0">
            <x v="35"/>
          </reference>
        </references>
      </pivotArea>
    </format>
    <format dxfId="3656">
      <pivotArea dataOnly="0" labelOnly="1" fieldPosition="0">
        <references count="4">
          <reference field="0" count="1" selected="0">
            <x v="21"/>
          </reference>
          <reference field="1" count="1" selected="0">
            <x v="1"/>
          </reference>
          <reference field="8" count="1">
            <x v="0"/>
          </reference>
          <reference field="12" count="1" selected="0">
            <x v="25"/>
          </reference>
        </references>
      </pivotArea>
    </format>
    <format dxfId="3655">
      <pivotArea dataOnly="0" labelOnly="1" fieldPosition="0">
        <references count="4">
          <reference field="0" count="1" selected="0">
            <x v="22"/>
          </reference>
          <reference field="1" count="1" selected="0">
            <x v="4"/>
          </reference>
          <reference field="8" count="1">
            <x v="0"/>
          </reference>
          <reference field="12" count="1" selected="0">
            <x v="46"/>
          </reference>
        </references>
      </pivotArea>
    </format>
    <format dxfId="3654">
      <pivotArea dataOnly="0" labelOnly="1" fieldPosition="0">
        <references count="4">
          <reference field="0" count="1" selected="0">
            <x v="23"/>
          </reference>
          <reference field="1" count="1" selected="0">
            <x v="5"/>
          </reference>
          <reference field="8" count="1">
            <x v="0"/>
          </reference>
          <reference field="12" count="1" selected="0">
            <x v="3"/>
          </reference>
        </references>
      </pivotArea>
    </format>
    <format dxfId="3653">
      <pivotArea dataOnly="0" labelOnly="1" fieldPosition="0">
        <references count="4">
          <reference field="0" count="1" selected="0">
            <x v="24"/>
          </reference>
          <reference field="1" count="1" selected="0">
            <x v="6"/>
          </reference>
          <reference field="8" count="1">
            <x v="0"/>
          </reference>
          <reference field="12" count="1" selected="0">
            <x v="1"/>
          </reference>
        </references>
      </pivotArea>
    </format>
    <format dxfId="3652">
      <pivotArea dataOnly="0" labelOnly="1" fieldPosition="0">
        <references count="4">
          <reference field="0" count="1" selected="0">
            <x v="25"/>
          </reference>
          <reference field="1" count="1" selected="0">
            <x v="35"/>
          </reference>
          <reference field="8" count="1">
            <x v="0"/>
          </reference>
          <reference field="12" count="1" selected="0">
            <x v="34"/>
          </reference>
        </references>
      </pivotArea>
    </format>
    <format dxfId="3651">
      <pivotArea dataOnly="0" labelOnly="1" fieldPosition="0">
        <references count="4">
          <reference field="0" count="1" selected="0">
            <x v="26"/>
          </reference>
          <reference field="1" count="1" selected="0">
            <x v="9"/>
          </reference>
          <reference field="8" count="1">
            <x v="1"/>
          </reference>
          <reference field="12" count="1" selected="0">
            <x v="48"/>
          </reference>
        </references>
      </pivotArea>
    </format>
    <format dxfId="3650">
      <pivotArea dataOnly="0" labelOnly="1" fieldPosition="0">
        <references count="4">
          <reference field="0" count="1" selected="0">
            <x v="27"/>
          </reference>
          <reference field="1" count="1" selected="0">
            <x v="10"/>
          </reference>
          <reference field="8" count="1">
            <x v="1"/>
          </reference>
          <reference field="12" count="1" selected="0">
            <x v="14"/>
          </reference>
        </references>
      </pivotArea>
    </format>
    <format dxfId="3649">
      <pivotArea dataOnly="0" labelOnly="1" fieldPosition="0">
        <references count="4">
          <reference field="0" count="1" selected="0">
            <x v="28"/>
          </reference>
          <reference field="1" count="1" selected="0">
            <x v="39"/>
          </reference>
          <reference field="8" count="1">
            <x v="0"/>
          </reference>
          <reference field="12" count="1" selected="0">
            <x v="32"/>
          </reference>
        </references>
      </pivotArea>
    </format>
    <format dxfId="3648">
      <pivotArea dataOnly="0" labelOnly="1" fieldPosition="0">
        <references count="4">
          <reference field="0" count="1" selected="0">
            <x v="29"/>
          </reference>
          <reference field="1" count="1" selected="0">
            <x v="23"/>
          </reference>
          <reference field="8" count="1">
            <x v="0"/>
          </reference>
          <reference field="12" count="1" selected="0">
            <x v="22"/>
          </reference>
        </references>
      </pivotArea>
    </format>
    <format dxfId="3647">
      <pivotArea dataOnly="0" labelOnly="1" fieldPosition="0">
        <references count="4">
          <reference field="0" count="1" selected="0">
            <x v="30"/>
          </reference>
          <reference field="1" count="1" selected="0">
            <x v="22"/>
          </reference>
          <reference field="8" count="1">
            <x v="0"/>
          </reference>
          <reference field="12" count="1" selected="0">
            <x v="8"/>
          </reference>
        </references>
      </pivotArea>
    </format>
    <format dxfId="3646">
      <pivotArea dataOnly="0" labelOnly="1" fieldPosition="0">
        <references count="4">
          <reference field="0" count="1" selected="0">
            <x v="31"/>
          </reference>
          <reference field="1" count="1" selected="0">
            <x v="21"/>
          </reference>
          <reference field="8" count="1">
            <x v="0"/>
          </reference>
          <reference field="12" count="1" selected="0">
            <x v="6"/>
          </reference>
        </references>
      </pivotArea>
    </format>
    <format dxfId="3645">
      <pivotArea dataOnly="0" labelOnly="1" fieldPosition="0">
        <references count="4">
          <reference field="0" count="1" selected="0">
            <x v="32"/>
          </reference>
          <reference field="1" count="1" selected="0">
            <x v="19"/>
          </reference>
          <reference field="8" count="1">
            <x v="1"/>
          </reference>
          <reference field="12" count="1" selected="0">
            <x v="45"/>
          </reference>
        </references>
      </pivotArea>
    </format>
    <format dxfId="3644">
      <pivotArea dataOnly="0" labelOnly="1" fieldPosition="0">
        <references count="4">
          <reference field="0" count="1" selected="0">
            <x v="33"/>
          </reference>
          <reference field="1" count="1" selected="0">
            <x v="20"/>
          </reference>
          <reference field="8" count="1">
            <x v="1"/>
          </reference>
          <reference field="12" count="1" selected="0">
            <x v="17"/>
          </reference>
        </references>
      </pivotArea>
    </format>
    <format dxfId="3643">
      <pivotArea dataOnly="0" labelOnly="1" fieldPosition="0">
        <references count="4">
          <reference field="0" count="1" selected="0">
            <x v="34"/>
          </reference>
          <reference field="1" count="1" selected="0">
            <x v="16"/>
          </reference>
          <reference field="8" count="1">
            <x v="1"/>
          </reference>
          <reference field="12" count="1" selected="0">
            <x v="16"/>
          </reference>
        </references>
      </pivotArea>
    </format>
    <format dxfId="3642">
      <pivotArea dataOnly="0" labelOnly="1" fieldPosition="0">
        <references count="4">
          <reference field="0" count="1" selected="0">
            <x v="35"/>
          </reference>
          <reference field="1" count="1" selected="0">
            <x v="17"/>
          </reference>
          <reference field="8" count="1">
            <x v="1"/>
          </reference>
          <reference field="12" count="1" selected="0">
            <x v="15"/>
          </reference>
        </references>
      </pivotArea>
    </format>
    <format dxfId="3641">
      <pivotArea dataOnly="0" labelOnly="1" fieldPosition="0">
        <references count="4">
          <reference field="0" count="1" selected="0">
            <x v="36"/>
          </reference>
          <reference field="1" count="1" selected="0">
            <x v="15"/>
          </reference>
          <reference field="8" count="1">
            <x v="1"/>
          </reference>
          <reference field="12" count="1" selected="0">
            <x v="20"/>
          </reference>
        </references>
      </pivotArea>
    </format>
    <format dxfId="3640">
      <pivotArea dataOnly="0" labelOnly="1" fieldPosition="0">
        <references count="4">
          <reference field="0" count="1" selected="0">
            <x v="37"/>
          </reference>
          <reference field="1" count="1" selected="0">
            <x v="18"/>
          </reference>
          <reference field="8" count="1">
            <x v="1"/>
          </reference>
          <reference field="12" count="1" selected="0">
            <x v="13"/>
          </reference>
        </references>
      </pivotArea>
    </format>
    <format dxfId="3639">
      <pivotArea dataOnly="0" labelOnly="1" fieldPosition="0">
        <references count="4">
          <reference field="0" count="1" selected="0">
            <x v="38"/>
          </reference>
          <reference field="1" count="1" selected="0">
            <x v="44"/>
          </reference>
          <reference field="8" count="1">
            <x v="1"/>
          </reference>
          <reference field="12" count="1" selected="0">
            <x v="43"/>
          </reference>
        </references>
      </pivotArea>
    </format>
    <format dxfId="3638">
      <pivotArea dataOnly="0" labelOnly="1" fieldPosition="0">
        <references count="4">
          <reference field="0" count="1" selected="0">
            <x v="39"/>
          </reference>
          <reference field="1" count="1" selected="0">
            <x v="43"/>
          </reference>
          <reference field="8" count="1">
            <x v="1"/>
          </reference>
          <reference field="12" count="1" selected="0">
            <x v="28"/>
          </reference>
        </references>
      </pivotArea>
    </format>
    <format dxfId="3637">
      <pivotArea dataOnly="0" labelOnly="1" fieldPosition="0">
        <references count="4">
          <reference field="0" count="1" selected="0">
            <x v="40"/>
          </reference>
          <reference field="1" count="1" selected="0">
            <x v="49"/>
          </reference>
          <reference field="8" count="1">
            <x v="0"/>
          </reference>
          <reference field="12" count="1" selected="0">
            <x v="24"/>
          </reference>
        </references>
      </pivotArea>
    </format>
    <format dxfId="3636">
      <pivotArea dataOnly="0" labelOnly="1" fieldPosition="0">
        <references count="4">
          <reference field="0" count="1" selected="0">
            <x v="41"/>
          </reference>
          <reference field="1" count="1" selected="0">
            <x v="46"/>
          </reference>
          <reference field="8" count="1">
            <x v="0"/>
          </reference>
          <reference field="12" count="1" selected="0">
            <x v="11"/>
          </reference>
        </references>
      </pivotArea>
    </format>
    <format dxfId="3635">
      <pivotArea dataOnly="0" labelOnly="1" fieldPosition="0">
        <references count="4">
          <reference field="0" count="1" selected="0">
            <x v="42"/>
          </reference>
          <reference field="1" count="1" selected="0">
            <x v="48"/>
          </reference>
          <reference field="8" count="1">
            <x v="0"/>
          </reference>
          <reference field="12" count="1" selected="0">
            <x v="2"/>
          </reference>
        </references>
      </pivotArea>
    </format>
    <format dxfId="3634">
      <pivotArea dataOnly="0" labelOnly="1" fieldPosition="0">
        <references count="4">
          <reference field="0" count="1" selected="0">
            <x v="43"/>
          </reference>
          <reference field="1" count="1" selected="0">
            <x v="47"/>
          </reference>
          <reference field="8" count="1">
            <x v="0"/>
          </reference>
          <reference field="12" count="1" selected="0">
            <x v="21"/>
          </reference>
        </references>
      </pivotArea>
    </format>
    <format dxfId="3633">
      <pivotArea dataOnly="0" labelOnly="1" fieldPosition="0">
        <references count="4">
          <reference field="0" count="1" selected="0">
            <x v="44"/>
          </reference>
          <reference field="1" count="1" selected="0">
            <x v="37"/>
          </reference>
          <reference field="8" count="1">
            <x v="0"/>
          </reference>
          <reference field="12" count="1" selected="0">
            <x v="29"/>
          </reference>
        </references>
      </pivotArea>
    </format>
    <format dxfId="3632">
      <pivotArea dataOnly="0" labelOnly="1" fieldPosition="0">
        <references count="4">
          <reference field="0" count="1" selected="0">
            <x v="45"/>
          </reference>
          <reference field="1" count="1" selected="0">
            <x v="0"/>
          </reference>
          <reference field="8" count="1">
            <x v="1"/>
          </reference>
          <reference field="12" count="1" selected="0">
            <x v="27"/>
          </reference>
        </references>
      </pivotArea>
    </format>
    <format dxfId="3631">
      <pivotArea dataOnly="0" labelOnly="1" fieldPosition="0">
        <references count="4">
          <reference field="0" count="1" selected="0">
            <x v="46"/>
          </reference>
          <reference field="1" count="1" selected="0">
            <x v="38"/>
          </reference>
          <reference field="8" count="1">
            <x v="0"/>
          </reference>
          <reference field="12" count="1" selected="0">
            <x v="33"/>
          </reference>
        </references>
      </pivotArea>
    </format>
    <format dxfId="3630">
      <pivotArea dataOnly="0" labelOnly="1" fieldPosition="0">
        <references count="4">
          <reference field="0" count="1" selected="0">
            <x v="47"/>
          </reference>
          <reference field="1" count="1" selected="0">
            <x v="7"/>
          </reference>
          <reference field="8" count="1">
            <x v="0"/>
          </reference>
          <reference field="12" count="1" selected="0">
            <x v="40"/>
          </reference>
        </references>
      </pivotArea>
    </format>
    <format dxfId="3629">
      <pivotArea dataOnly="0" labelOnly="1" fieldPosition="0">
        <references count="4">
          <reference field="0" count="1" selected="0">
            <x v="48"/>
          </reference>
          <reference field="1" count="1" selected="0">
            <x v="8"/>
          </reference>
          <reference field="8" count="1">
            <x v="1"/>
          </reference>
          <reference field="12" count="1" selected="0">
            <x v="26"/>
          </reference>
        </references>
      </pivotArea>
    </format>
    <format dxfId="3628">
      <pivotArea dataOnly="0" labelOnly="1" fieldPosition="0">
        <references count="4">
          <reference field="0" count="1" selected="0">
            <x v="49"/>
          </reference>
          <reference field="1" count="1" selected="0">
            <x v="42"/>
          </reference>
          <reference field="8" count="1">
            <x v="1"/>
          </reference>
          <reference field="12" count="1" selected="0">
            <x v="39"/>
          </reference>
        </references>
      </pivotArea>
    </format>
    <format dxfId="3627">
      <pivotArea dataOnly="0" labelOnly="1" fieldPosition="0">
        <references count="5">
          <reference field="0" count="1" selected="0">
            <x v="0"/>
          </reference>
          <reference field="1" count="1" selected="0">
            <x v="32"/>
          </reference>
          <reference field="8" count="1" selected="0">
            <x v="0"/>
          </reference>
          <reference field="12" count="1" selected="0">
            <x v="0"/>
          </reference>
          <reference field="21" count="1">
            <x v="43"/>
          </reference>
        </references>
      </pivotArea>
    </format>
    <format dxfId="3626">
      <pivotArea dataOnly="0" labelOnly="1" fieldPosition="0">
        <references count="5">
          <reference field="0" count="1" selected="0">
            <x v="1"/>
          </reference>
          <reference field="1" count="1" selected="0">
            <x v="33"/>
          </reference>
          <reference field="8" count="1" selected="0">
            <x v="0"/>
          </reference>
          <reference field="12" count="1" selected="0">
            <x v="18"/>
          </reference>
          <reference field="21" count="1">
            <x v="38"/>
          </reference>
        </references>
      </pivotArea>
    </format>
    <format dxfId="3625">
      <pivotArea dataOnly="0" labelOnly="1" fieldPosition="0">
        <references count="5">
          <reference field="0" count="1" selected="0">
            <x v="2"/>
          </reference>
          <reference field="1" count="1" selected="0">
            <x v="45"/>
          </reference>
          <reference field="8" count="1" selected="0">
            <x v="1"/>
          </reference>
          <reference field="12" count="1" selected="0">
            <x v="10"/>
          </reference>
          <reference field="21" count="1">
            <x v="15"/>
          </reference>
        </references>
      </pivotArea>
    </format>
    <format dxfId="3624">
      <pivotArea dataOnly="0" labelOnly="1" fieldPosition="0">
        <references count="5">
          <reference field="0" count="1" selected="0">
            <x v="3"/>
          </reference>
          <reference field="1" count="1" selected="0">
            <x v="34"/>
          </reference>
          <reference field="8" count="1" selected="0">
            <x v="0"/>
          </reference>
          <reference field="12" count="1" selected="0">
            <x v="7"/>
          </reference>
          <reference field="21" count="1">
            <x v="21"/>
          </reference>
        </references>
      </pivotArea>
    </format>
    <format dxfId="3623">
      <pivotArea dataOnly="0" labelOnly="1" fieldPosition="0">
        <references count="5">
          <reference field="0" count="1" selected="0">
            <x v="4"/>
          </reference>
          <reference field="1" count="1" selected="0">
            <x v="3"/>
          </reference>
          <reference field="8" count="1" selected="0">
            <x v="1"/>
          </reference>
          <reference field="12" count="1" selected="0">
            <x v="5"/>
          </reference>
          <reference field="21" count="1">
            <x v="16"/>
          </reference>
        </references>
      </pivotArea>
    </format>
    <format dxfId="3622">
      <pivotArea dataOnly="0" labelOnly="1" fieldPosition="0">
        <references count="5">
          <reference field="0" count="1" selected="0">
            <x v="5"/>
          </reference>
          <reference field="1" count="1" selected="0">
            <x v="26"/>
          </reference>
          <reference field="8" count="1" selected="0">
            <x v="1"/>
          </reference>
          <reference field="12" count="1" selected="0">
            <x v="19"/>
          </reference>
          <reference field="21" count="1">
            <x v="38"/>
          </reference>
        </references>
      </pivotArea>
    </format>
    <format dxfId="3621">
      <pivotArea dataOnly="0" labelOnly="1" fieldPosition="0">
        <references count="5">
          <reference field="0" count="1" selected="0">
            <x v="6"/>
          </reference>
          <reference field="1" count="1" selected="0">
            <x v="31"/>
          </reference>
          <reference field="8" count="1" selected="0">
            <x v="0"/>
          </reference>
          <reference field="12" count="1" selected="0">
            <x v="9"/>
          </reference>
          <reference field="21" count="1">
            <x v="45"/>
          </reference>
        </references>
      </pivotArea>
    </format>
    <format dxfId="3620">
      <pivotArea dataOnly="0" labelOnly="1" fieldPosition="0">
        <references count="5">
          <reference field="0" count="1" selected="0">
            <x v="7"/>
          </reference>
          <reference field="1" count="1" selected="0">
            <x v="27"/>
          </reference>
          <reference field="8" count="1" selected="0">
            <x v="1"/>
          </reference>
          <reference field="12" count="1" selected="0">
            <x v="30"/>
          </reference>
          <reference field="21" count="1">
            <x v="9"/>
          </reference>
        </references>
      </pivotArea>
    </format>
    <format dxfId="3619">
      <pivotArea dataOnly="0" labelOnly="1" fieldPosition="0">
        <references count="5">
          <reference field="0" count="1" selected="0">
            <x v="8"/>
          </reference>
          <reference field="1" count="1" selected="0">
            <x v="30"/>
          </reference>
          <reference field="8" count="1" selected="0">
            <x v="0"/>
          </reference>
          <reference field="12" count="1" selected="0">
            <x v="41"/>
          </reference>
          <reference field="21" count="1">
            <x v="17"/>
          </reference>
        </references>
      </pivotArea>
    </format>
    <format dxfId="3618">
      <pivotArea dataOnly="0" labelOnly="1" fieldPosition="0">
        <references count="5">
          <reference field="0" count="1" selected="0">
            <x v="9"/>
          </reference>
          <reference field="1" count="1" selected="0">
            <x v="28"/>
          </reference>
          <reference field="8" count="1" selected="0">
            <x v="1"/>
          </reference>
          <reference field="12" count="1" selected="0">
            <x v="38"/>
          </reference>
          <reference field="21" count="1">
            <x v="10"/>
          </reference>
        </references>
      </pivotArea>
    </format>
    <format dxfId="3617">
      <pivotArea dataOnly="0" labelOnly="1" fieldPosition="0">
        <references count="5">
          <reference field="0" count="1" selected="0">
            <x v="10"/>
          </reference>
          <reference field="1" count="1" selected="0">
            <x v="41"/>
          </reference>
          <reference field="8" count="1" selected="0">
            <x v="1"/>
          </reference>
          <reference field="12" count="1" selected="0">
            <x v="23"/>
          </reference>
          <reference field="21" count="1">
            <x v="32"/>
          </reference>
        </references>
      </pivotArea>
    </format>
    <format dxfId="3616">
      <pivotArea dataOnly="0" labelOnly="1" fieldPosition="0">
        <references count="5">
          <reference field="0" count="1" selected="0">
            <x v="11"/>
          </reference>
          <reference field="1" count="1" selected="0">
            <x v="29"/>
          </reference>
          <reference field="8" count="1" selected="0">
            <x v="0"/>
          </reference>
          <reference field="12" count="1" selected="0">
            <x v="49"/>
          </reference>
          <reference field="21" count="1">
            <x v="23"/>
          </reference>
        </references>
      </pivotArea>
    </format>
    <format dxfId="3615">
      <pivotArea dataOnly="0" labelOnly="1" fieldPosition="0">
        <references count="5">
          <reference field="0" count="1" selected="0">
            <x v="12"/>
          </reference>
          <reference field="1" count="1" selected="0">
            <x v="36"/>
          </reference>
          <reference field="8" count="1" selected="0">
            <x v="0"/>
          </reference>
          <reference field="12" count="1" selected="0">
            <x v="37"/>
          </reference>
          <reference field="21" count="1">
            <x v="23"/>
          </reference>
        </references>
      </pivotArea>
    </format>
    <format dxfId="3614">
      <pivotArea dataOnly="0" labelOnly="1" fieldPosition="0">
        <references count="5">
          <reference field="0" count="1" selected="0">
            <x v="13"/>
          </reference>
          <reference field="1" count="1" selected="0">
            <x v="11"/>
          </reference>
          <reference field="8" count="1" selected="0">
            <x v="1"/>
          </reference>
          <reference field="12" count="1" selected="0">
            <x v="47"/>
          </reference>
          <reference field="21" count="1">
            <x v="5"/>
          </reference>
        </references>
      </pivotArea>
    </format>
    <format dxfId="3613">
      <pivotArea dataOnly="0" labelOnly="1" fieldPosition="0">
        <references count="5">
          <reference field="0" count="1" selected="0">
            <x v="14"/>
          </reference>
          <reference field="1" count="1" selected="0">
            <x v="40"/>
          </reference>
          <reference field="8" count="1" selected="0">
            <x v="0"/>
          </reference>
          <reference field="12" count="1" selected="0">
            <x v="36"/>
          </reference>
          <reference field="21" count="1">
            <x v="11"/>
          </reference>
        </references>
      </pivotArea>
    </format>
    <format dxfId="3612">
      <pivotArea dataOnly="0" labelOnly="1" fieldPosition="0">
        <references count="5">
          <reference field="0" count="1" selected="0">
            <x v="15"/>
          </reference>
          <reference field="1" count="1" selected="0">
            <x v="12"/>
          </reference>
          <reference field="8" count="1" selected="0">
            <x v="1"/>
          </reference>
          <reference field="12" count="1" selected="0">
            <x v="4"/>
          </reference>
          <reference field="21" count="1">
            <x v="15"/>
          </reference>
        </references>
      </pivotArea>
    </format>
    <format dxfId="3611">
      <pivotArea dataOnly="0" labelOnly="1" fieldPosition="0">
        <references count="5">
          <reference field="0" count="1" selected="0">
            <x v="16"/>
          </reference>
          <reference field="1" count="1" selected="0">
            <x v="13"/>
          </reference>
          <reference field="8" count="1" selected="0">
            <x v="1"/>
          </reference>
          <reference field="12" count="1" selected="0">
            <x v="42"/>
          </reference>
          <reference field="21" count="1">
            <x v="18"/>
          </reference>
        </references>
      </pivotArea>
    </format>
    <format dxfId="3610">
      <pivotArea dataOnly="0" labelOnly="1" fieldPosition="0">
        <references count="5">
          <reference field="0" count="1" selected="0">
            <x v="17"/>
          </reference>
          <reference field="1" count="1" selected="0">
            <x v="14"/>
          </reference>
          <reference field="8" count="1" selected="0">
            <x v="1"/>
          </reference>
          <reference field="12" count="1" selected="0">
            <x v="44"/>
          </reference>
          <reference field="21" count="1">
            <x v="5"/>
          </reference>
        </references>
      </pivotArea>
    </format>
    <format dxfId="3609">
      <pivotArea dataOnly="0" labelOnly="1" fieldPosition="0">
        <references count="5">
          <reference field="0" count="1" selected="0">
            <x v="18"/>
          </reference>
          <reference field="1" count="1" selected="0">
            <x v="2"/>
          </reference>
          <reference field="8" count="1" selected="0">
            <x v="0"/>
          </reference>
          <reference field="12" count="1" selected="0">
            <x v="31"/>
          </reference>
          <reference field="21" count="1">
            <x v="23"/>
          </reference>
        </references>
      </pivotArea>
    </format>
    <format dxfId="3608">
      <pivotArea dataOnly="0" labelOnly="1" fieldPosition="0">
        <references count="5">
          <reference field="0" count="1" selected="0">
            <x v="19"/>
          </reference>
          <reference field="1" count="1" selected="0">
            <x v="24"/>
          </reference>
          <reference field="8" count="1" selected="0">
            <x v="1"/>
          </reference>
          <reference field="12" count="1" selected="0">
            <x v="12"/>
          </reference>
          <reference field="21" count="1">
            <x v="22"/>
          </reference>
        </references>
      </pivotArea>
    </format>
    <format dxfId="3607">
      <pivotArea dataOnly="0" labelOnly="1" fieldPosition="0">
        <references count="5">
          <reference field="0" count="1" selected="0">
            <x v="20"/>
          </reference>
          <reference field="1" count="1" selected="0">
            <x v="25"/>
          </reference>
          <reference field="8" count="1" selected="0">
            <x v="1"/>
          </reference>
          <reference field="12" count="1" selected="0">
            <x v="35"/>
          </reference>
          <reference field="21" count="1">
            <x v="42"/>
          </reference>
        </references>
      </pivotArea>
    </format>
    <format dxfId="3606">
      <pivotArea dataOnly="0" labelOnly="1" fieldPosition="0">
        <references count="5">
          <reference field="0" count="1" selected="0">
            <x v="21"/>
          </reference>
          <reference field="1" count="1" selected="0">
            <x v="1"/>
          </reference>
          <reference field="8" count="1" selected="0">
            <x v="0"/>
          </reference>
          <reference field="12" count="1" selected="0">
            <x v="25"/>
          </reference>
          <reference field="21" count="1">
            <x v="10"/>
          </reference>
        </references>
      </pivotArea>
    </format>
    <format dxfId="3605">
      <pivotArea dataOnly="0" labelOnly="1" fieldPosition="0">
        <references count="5">
          <reference field="0" count="1" selected="0">
            <x v="22"/>
          </reference>
          <reference field="1" count="1" selected="0">
            <x v="4"/>
          </reference>
          <reference field="8" count="1" selected="0">
            <x v="0"/>
          </reference>
          <reference field="12" count="1" selected="0">
            <x v="46"/>
          </reference>
          <reference field="21" count="1">
            <x v="1"/>
          </reference>
        </references>
      </pivotArea>
    </format>
    <format dxfId="3604">
      <pivotArea dataOnly="0" labelOnly="1" fieldPosition="0">
        <references count="5">
          <reference field="0" count="1" selected="0">
            <x v="23"/>
          </reference>
          <reference field="1" count="1" selected="0">
            <x v="5"/>
          </reference>
          <reference field="8" count="1" selected="0">
            <x v="0"/>
          </reference>
          <reference field="12" count="1" selected="0">
            <x v="3"/>
          </reference>
          <reference field="21" count="1">
            <x v="45"/>
          </reference>
        </references>
      </pivotArea>
    </format>
    <format dxfId="3603">
      <pivotArea dataOnly="0" labelOnly="1" fieldPosition="0">
        <references count="5">
          <reference field="0" count="1" selected="0">
            <x v="24"/>
          </reference>
          <reference field="1" count="1" selected="0">
            <x v="6"/>
          </reference>
          <reference field="8" count="1" selected="0">
            <x v="0"/>
          </reference>
          <reference field="12" count="1" selected="0">
            <x v="1"/>
          </reference>
          <reference field="21" count="1">
            <x v="12"/>
          </reference>
        </references>
      </pivotArea>
    </format>
    <format dxfId="3602">
      <pivotArea dataOnly="0" labelOnly="1" fieldPosition="0">
        <references count="5">
          <reference field="0" count="1" selected="0">
            <x v="25"/>
          </reference>
          <reference field="1" count="1" selected="0">
            <x v="35"/>
          </reference>
          <reference field="8" count="1" selected="0">
            <x v="0"/>
          </reference>
          <reference field="12" count="1" selected="0">
            <x v="34"/>
          </reference>
          <reference field="21" count="1">
            <x v="24"/>
          </reference>
        </references>
      </pivotArea>
    </format>
    <format dxfId="3601">
      <pivotArea dataOnly="0" labelOnly="1" fieldPosition="0">
        <references count="5">
          <reference field="0" count="1" selected="0">
            <x v="26"/>
          </reference>
          <reference field="1" count="1" selected="0">
            <x v="9"/>
          </reference>
          <reference field="8" count="1" selected="0">
            <x v="1"/>
          </reference>
          <reference field="12" count="1" selected="0">
            <x v="48"/>
          </reference>
          <reference field="21" count="1">
            <x v="16"/>
          </reference>
        </references>
      </pivotArea>
    </format>
    <format dxfId="3600">
      <pivotArea dataOnly="0" labelOnly="1" fieldPosition="0">
        <references count="5">
          <reference field="0" count="1" selected="0">
            <x v="27"/>
          </reference>
          <reference field="1" count="1" selected="0">
            <x v="10"/>
          </reference>
          <reference field="8" count="1" selected="0">
            <x v="1"/>
          </reference>
          <reference field="12" count="1" selected="0">
            <x v="14"/>
          </reference>
          <reference field="21" count="1">
            <x v="28"/>
          </reference>
        </references>
      </pivotArea>
    </format>
    <format dxfId="3599">
      <pivotArea dataOnly="0" labelOnly="1" fieldPosition="0">
        <references count="5">
          <reference field="0" count="1" selected="0">
            <x v="28"/>
          </reference>
          <reference field="1" count="1" selected="0">
            <x v="39"/>
          </reference>
          <reference field="8" count="1" selected="0">
            <x v="0"/>
          </reference>
          <reference field="12" count="1" selected="0">
            <x v="32"/>
          </reference>
          <reference field="21" count="1">
            <x v="40"/>
          </reference>
        </references>
      </pivotArea>
    </format>
    <format dxfId="3598">
      <pivotArea dataOnly="0" labelOnly="1" fieldPosition="0">
        <references count="5">
          <reference field="0" count="1" selected="0">
            <x v="29"/>
          </reference>
          <reference field="1" count="1" selected="0">
            <x v="23"/>
          </reference>
          <reference field="8" count="1" selected="0">
            <x v="0"/>
          </reference>
          <reference field="12" count="1" selected="0">
            <x v="22"/>
          </reference>
          <reference field="21" count="1">
            <x v="25"/>
          </reference>
        </references>
      </pivotArea>
    </format>
    <format dxfId="3597">
      <pivotArea dataOnly="0" labelOnly="1" fieldPosition="0">
        <references count="5">
          <reference field="0" count="1" selected="0">
            <x v="30"/>
          </reference>
          <reference field="1" count="1" selected="0">
            <x v="22"/>
          </reference>
          <reference field="8" count="1" selected="0">
            <x v="0"/>
          </reference>
          <reference field="12" count="1" selected="0">
            <x v="8"/>
          </reference>
          <reference field="21" count="1">
            <x v="35"/>
          </reference>
        </references>
      </pivotArea>
    </format>
    <format dxfId="3596">
      <pivotArea dataOnly="0" labelOnly="1" fieldPosition="0">
        <references count="5">
          <reference field="0" count="1" selected="0">
            <x v="31"/>
          </reference>
          <reference field="1" count="1" selected="0">
            <x v="21"/>
          </reference>
          <reference field="8" count="1" selected="0">
            <x v="0"/>
          </reference>
          <reference field="12" count="1" selected="0">
            <x v="6"/>
          </reference>
          <reference field="21" count="1">
            <x v="16"/>
          </reference>
        </references>
      </pivotArea>
    </format>
    <format dxfId="3595">
      <pivotArea dataOnly="0" labelOnly="1" fieldPosition="0">
        <references count="5">
          <reference field="0" count="1" selected="0">
            <x v="32"/>
          </reference>
          <reference field="1" count="1" selected="0">
            <x v="19"/>
          </reference>
          <reference field="8" count="1" selected="0">
            <x v="1"/>
          </reference>
          <reference field="12" count="1" selected="0">
            <x v="45"/>
          </reference>
          <reference field="21" count="1">
            <x v="26"/>
          </reference>
        </references>
      </pivotArea>
    </format>
    <format dxfId="3594">
      <pivotArea dataOnly="0" labelOnly="1" fieldPosition="0">
        <references count="5">
          <reference field="0" count="1" selected="0">
            <x v="33"/>
          </reference>
          <reference field="1" count="1" selected="0">
            <x v="20"/>
          </reference>
          <reference field="8" count="1" selected="0">
            <x v="1"/>
          </reference>
          <reference field="12" count="1" selected="0">
            <x v="17"/>
          </reference>
          <reference field="21" count="1">
            <x v="27"/>
          </reference>
        </references>
      </pivotArea>
    </format>
    <format dxfId="3593">
      <pivotArea dataOnly="0" labelOnly="1" fieldPosition="0">
        <references count="5">
          <reference field="0" count="1" selected="0">
            <x v="34"/>
          </reference>
          <reference field="1" count="1" selected="0">
            <x v="16"/>
          </reference>
          <reference field="8" count="1" selected="0">
            <x v="1"/>
          </reference>
          <reference field="12" count="1" selected="0">
            <x v="16"/>
          </reference>
          <reference field="21" count="1">
            <x v="1"/>
          </reference>
        </references>
      </pivotArea>
    </format>
    <format dxfId="3592">
      <pivotArea dataOnly="0" labelOnly="1" fieldPosition="0">
        <references count="5">
          <reference field="0" count="1" selected="0">
            <x v="35"/>
          </reference>
          <reference field="1" count="1" selected="0">
            <x v="17"/>
          </reference>
          <reference field="8" count="1" selected="0">
            <x v="1"/>
          </reference>
          <reference field="12" count="1" selected="0">
            <x v="15"/>
          </reference>
          <reference field="21" count="1">
            <x v="21"/>
          </reference>
        </references>
      </pivotArea>
    </format>
    <format dxfId="3591">
      <pivotArea dataOnly="0" labelOnly="1" fieldPosition="0">
        <references count="5">
          <reference field="0" count="1" selected="0">
            <x v="36"/>
          </reference>
          <reference field="1" count="1" selected="0">
            <x v="15"/>
          </reference>
          <reference field="8" count="1" selected="0">
            <x v="1"/>
          </reference>
          <reference field="12" count="1" selected="0">
            <x v="20"/>
          </reference>
          <reference field="21" count="1">
            <x v="32"/>
          </reference>
        </references>
      </pivotArea>
    </format>
    <format dxfId="3590">
      <pivotArea dataOnly="0" labelOnly="1" fieldPosition="0">
        <references count="5">
          <reference field="0" count="1" selected="0">
            <x v="37"/>
          </reference>
          <reference field="1" count="1" selected="0">
            <x v="18"/>
          </reference>
          <reference field="8" count="1" selected="0">
            <x v="1"/>
          </reference>
          <reference field="12" count="1" selected="0">
            <x v="13"/>
          </reference>
          <reference field="21" count="1">
            <x v="29"/>
          </reference>
        </references>
      </pivotArea>
    </format>
    <format dxfId="3589">
      <pivotArea dataOnly="0" labelOnly="1" fieldPosition="0">
        <references count="5">
          <reference field="0" count="1" selected="0">
            <x v="38"/>
          </reference>
          <reference field="1" count="1" selected="0">
            <x v="44"/>
          </reference>
          <reference field="8" count="1" selected="0">
            <x v="1"/>
          </reference>
          <reference field="12" count="1" selected="0">
            <x v="43"/>
          </reference>
          <reference field="21" count="1">
            <x v="30"/>
          </reference>
        </references>
      </pivotArea>
    </format>
    <format dxfId="3588">
      <pivotArea dataOnly="0" labelOnly="1" fieldPosition="0">
        <references count="5">
          <reference field="0" count="1" selected="0">
            <x v="39"/>
          </reference>
          <reference field="1" count="1" selected="0">
            <x v="43"/>
          </reference>
          <reference field="8" count="1" selected="0">
            <x v="1"/>
          </reference>
          <reference field="12" count="1" selected="0">
            <x v="28"/>
          </reference>
          <reference field="21" count="1">
            <x v="34"/>
          </reference>
        </references>
      </pivotArea>
    </format>
    <format dxfId="3587">
      <pivotArea dataOnly="0" labelOnly="1" fieldPosition="0">
        <references count="5">
          <reference field="0" count="1" selected="0">
            <x v="40"/>
          </reference>
          <reference field="1" count="1" selected="0">
            <x v="49"/>
          </reference>
          <reference field="8" count="1" selected="0">
            <x v="0"/>
          </reference>
          <reference field="12" count="1" selected="0">
            <x v="24"/>
          </reference>
          <reference field="21" count="1">
            <x v="20"/>
          </reference>
        </references>
      </pivotArea>
    </format>
    <format dxfId="3586">
      <pivotArea dataOnly="0" labelOnly="1" fieldPosition="0">
        <references count="5">
          <reference field="0" count="1" selected="0">
            <x v="41"/>
          </reference>
          <reference field="1" count="1" selected="0">
            <x v="46"/>
          </reference>
          <reference field="8" count="1" selected="0">
            <x v="0"/>
          </reference>
          <reference field="12" count="1" selected="0">
            <x v="11"/>
          </reference>
          <reference field="21" count="1">
            <x v="36"/>
          </reference>
        </references>
      </pivotArea>
    </format>
    <format dxfId="3585">
      <pivotArea dataOnly="0" labelOnly="1" fieldPosition="0">
        <references count="5">
          <reference field="0" count="1" selected="0">
            <x v="42"/>
          </reference>
          <reference field="1" count="1" selected="0">
            <x v="48"/>
          </reference>
          <reference field="8" count="1" selected="0">
            <x v="0"/>
          </reference>
          <reference field="12" count="1" selected="0">
            <x v="2"/>
          </reference>
          <reference field="21" count="1">
            <x v="6"/>
          </reference>
        </references>
      </pivotArea>
    </format>
    <format dxfId="3584">
      <pivotArea dataOnly="0" labelOnly="1" fieldPosition="0">
        <references count="5">
          <reference field="0" count="1" selected="0">
            <x v="43"/>
          </reference>
          <reference field="1" count="1" selected="0">
            <x v="47"/>
          </reference>
          <reference field="8" count="1" selected="0">
            <x v="0"/>
          </reference>
          <reference field="12" count="1" selected="0">
            <x v="21"/>
          </reference>
          <reference field="21" count="1">
            <x v="11"/>
          </reference>
        </references>
      </pivotArea>
    </format>
    <format dxfId="3583">
      <pivotArea dataOnly="0" labelOnly="1" fieldPosition="0">
        <references count="5">
          <reference field="0" count="1" selected="0">
            <x v="44"/>
          </reference>
          <reference field="1" count="1" selected="0">
            <x v="37"/>
          </reference>
          <reference field="8" count="1" selected="0">
            <x v="0"/>
          </reference>
          <reference field="12" count="1" selected="0">
            <x v="29"/>
          </reference>
          <reference field="21" count="1">
            <x v="6"/>
          </reference>
        </references>
      </pivotArea>
    </format>
    <format dxfId="3582">
      <pivotArea dataOnly="0" labelOnly="1" fieldPosition="0">
        <references count="5">
          <reference field="0" count="1" selected="0">
            <x v="45"/>
          </reference>
          <reference field="1" count="1" selected="0">
            <x v="0"/>
          </reference>
          <reference field="8" count="1" selected="0">
            <x v="1"/>
          </reference>
          <reference field="12" count="1" selected="0">
            <x v="27"/>
          </reference>
          <reference field="21" count="1">
            <x v="19"/>
          </reference>
        </references>
      </pivotArea>
    </format>
    <format dxfId="3581">
      <pivotArea dataOnly="0" labelOnly="1" fieldPosition="0">
        <references count="5">
          <reference field="0" count="1" selected="0">
            <x v="46"/>
          </reference>
          <reference field="1" count="1" selected="0">
            <x v="38"/>
          </reference>
          <reference field="8" count="1" selected="0">
            <x v="0"/>
          </reference>
          <reference field="12" count="1" selected="0">
            <x v="33"/>
          </reference>
          <reference field="21" count="1">
            <x v="14"/>
          </reference>
        </references>
      </pivotArea>
    </format>
    <format dxfId="3580">
      <pivotArea dataOnly="0" labelOnly="1" fieldPosition="0">
        <references count="5">
          <reference field="0" count="1" selected="0">
            <x v="47"/>
          </reference>
          <reference field="1" count="1" selected="0">
            <x v="7"/>
          </reference>
          <reference field="8" count="1" selected="0">
            <x v="0"/>
          </reference>
          <reference field="12" count="1" selected="0">
            <x v="40"/>
          </reference>
          <reference field="21" count="1">
            <x v="43"/>
          </reference>
        </references>
      </pivotArea>
    </format>
    <format dxfId="3579">
      <pivotArea dataOnly="0" labelOnly="1" fieldPosition="0">
        <references count="5">
          <reference field="0" count="1" selected="0">
            <x v="48"/>
          </reference>
          <reference field="1" count="1" selected="0">
            <x v="8"/>
          </reference>
          <reference field="8" count="1" selected="0">
            <x v="1"/>
          </reference>
          <reference field="12" count="1" selected="0">
            <x v="26"/>
          </reference>
          <reference field="21" count="1">
            <x v="33"/>
          </reference>
        </references>
      </pivotArea>
    </format>
    <format dxfId="3578">
      <pivotArea dataOnly="0" labelOnly="1" fieldPosition="0">
        <references count="5">
          <reference field="0" count="1" selected="0">
            <x v="49"/>
          </reference>
          <reference field="1" count="1" selected="0">
            <x v="42"/>
          </reference>
          <reference field="8" count="1" selected="0">
            <x v="1"/>
          </reference>
          <reference field="12" count="1" selected="0">
            <x v="39"/>
          </reference>
          <reference field="21" count="1">
            <x v="39"/>
          </reference>
        </references>
      </pivotArea>
    </format>
    <format dxfId="3577">
      <pivotArea dataOnly="0" labelOnly="1" fieldPosition="0">
        <references count="6">
          <reference field="0" count="1" selected="0">
            <x v="0"/>
          </reference>
          <reference field="1" count="1" selected="0">
            <x v="32"/>
          </reference>
          <reference field="8" count="1" selected="0">
            <x v="0"/>
          </reference>
          <reference field="10" count="1">
            <x v="10"/>
          </reference>
          <reference field="12" count="1" selected="0">
            <x v="0"/>
          </reference>
          <reference field="21" count="1" selected="0">
            <x v="43"/>
          </reference>
        </references>
      </pivotArea>
    </format>
    <format dxfId="3576">
      <pivotArea dataOnly="0" labelOnly="1" fieldPosition="0">
        <references count="6">
          <reference field="0" count="1" selected="0">
            <x v="1"/>
          </reference>
          <reference field="1" count="1" selected="0">
            <x v="33"/>
          </reference>
          <reference field="8" count="1" selected="0">
            <x v="0"/>
          </reference>
          <reference field="10" count="1">
            <x v="10"/>
          </reference>
          <reference field="12" count="1" selected="0">
            <x v="18"/>
          </reference>
          <reference field="21" count="1" selected="0">
            <x v="38"/>
          </reference>
        </references>
      </pivotArea>
    </format>
    <format dxfId="3575">
      <pivotArea dataOnly="0" labelOnly="1" fieldPosition="0">
        <references count="6">
          <reference field="0" count="1" selected="0">
            <x v="2"/>
          </reference>
          <reference field="1" count="1" selected="0">
            <x v="45"/>
          </reference>
          <reference field="8" count="1" selected="0">
            <x v="1"/>
          </reference>
          <reference field="10" count="1">
            <x v="3"/>
          </reference>
          <reference field="12" count="1" selected="0">
            <x v="10"/>
          </reference>
          <reference field="21" count="1" selected="0">
            <x v="15"/>
          </reference>
        </references>
      </pivotArea>
    </format>
    <format dxfId="3574">
      <pivotArea dataOnly="0" labelOnly="1" fieldPosition="0">
        <references count="6">
          <reference field="0" count="1" selected="0">
            <x v="5"/>
          </reference>
          <reference field="1" count="1" selected="0">
            <x v="26"/>
          </reference>
          <reference field="8" count="1" selected="0">
            <x v="1"/>
          </reference>
          <reference field="10" count="1">
            <x v="10"/>
          </reference>
          <reference field="12" count="1" selected="0">
            <x v="19"/>
          </reference>
          <reference field="21" count="1" selected="0">
            <x v="38"/>
          </reference>
        </references>
      </pivotArea>
    </format>
    <format dxfId="3573">
      <pivotArea dataOnly="0" labelOnly="1" fieldPosition="0">
        <references count="6">
          <reference field="0" count="1" selected="0">
            <x v="15"/>
          </reference>
          <reference field="1" count="1" selected="0">
            <x v="12"/>
          </reference>
          <reference field="8" count="1" selected="0">
            <x v="1"/>
          </reference>
          <reference field="10" count="1">
            <x v="5"/>
          </reference>
          <reference field="12" count="1" selected="0">
            <x v="4"/>
          </reference>
          <reference field="21" count="1" selected="0">
            <x v="15"/>
          </reference>
        </references>
      </pivotArea>
    </format>
    <format dxfId="3572">
      <pivotArea dataOnly="0" labelOnly="1" fieldPosition="0">
        <references count="6">
          <reference field="0" count="1" selected="0">
            <x v="47"/>
          </reference>
          <reference field="1" count="1" selected="0">
            <x v="7"/>
          </reference>
          <reference field="8" count="1" selected="0">
            <x v="0"/>
          </reference>
          <reference field="10" count="1">
            <x v="8"/>
          </reference>
          <reference field="12" count="1" selected="0">
            <x v="40"/>
          </reference>
          <reference field="21" count="1" selected="0">
            <x v="43"/>
          </reference>
        </references>
      </pivotArea>
    </format>
    <format dxfId="3571">
      <pivotArea dataOnly="0" labelOnly="1" fieldPosition="0">
        <references count="7">
          <reference field="0" count="1" selected="0">
            <x v="0"/>
          </reference>
          <reference field="1" count="1" selected="0">
            <x v="32"/>
          </reference>
          <reference field="8" count="1" selected="0">
            <x v="0"/>
          </reference>
          <reference field="10" count="1" selected="0">
            <x v="10"/>
          </reference>
          <reference field="11" count="1">
            <x v="1"/>
          </reference>
          <reference field="12" count="1" selected="0">
            <x v="0"/>
          </reference>
          <reference field="21" count="1" selected="0">
            <x v="43"/>
          </reference>
        </references>
      </pivotArea>
    </format>
    <format dxfId="3570">
      <pivotArea dataOnly="0" labelOnly="1" fieldPosition="0">
        <references count="7">
          <reference field="0" count="1" selected="0">
            <x v="1"/>
          </reference>
          <reference field="1" count="1" selected="0">
            <x v="33"/>
          </reference>
          <reference field="8" count="1" selected="0">
            <x v="0"/>
          </reference>
          <reference field="10" count="1" selected="0">
            <x v="10"/>
          </reference>
          <reference field="11" count="1">
            <x v="1"/>
          </reference>
          <reference field="12" count="1" selected="0">
            <x v="18"/>
          </reference>
          <reference field="21" count="1" selected="0">
            <x v="38"/>
          </reference>
        </references>
      </pivotArea>
    </format>
    <format dxfId="3569">
      <pivotArea dataOnly="0" labelOnly="1" fieldPosition="0">
        <references count="7">
          <reference field="0" count="1" selected="0">
            <x v="2"/>
          </reference>
          <reference field="1" count="1" selected="0">
            <x v="45"/>
          </reference>
          <reference field="8" count="1" selected="0">
            <x v="1"/>
          </reference>
          <reference field="10" count="1" selected="0">
            <x v="3"/>
          </reference>
          <reference field="11" count="1">
            <x v="4"/>
          </reference>
          <reference field="12" count="1" selected="0">
            <x v="10"/>
          </reference>
          <reference field="21" count="1" selected="0">
            <x v="15"/>
          </reference>
        </references>
      </pivotArea>
    </format>
    <format dxfId="3568">
      <pivotArea dataOnly="0" labelOnly="1" fieldPosition="0">
        <references count="7">
          <reference field="0" count="1" selected="0">
            <x v="5"/>
          </reference>
          <reference field="1" count="1" selected="0">
            <x v="26"/>
          </reference>
          <reference field="8" count="1" selected="0">
            <x v="1"/>
          </reference>
          <reference field="10" count="1" selected="0">
            <x v="10"/>
          </reference>
          <reference field="11" count="1">
            <x v="1"/>
          </reference>
          <reference field="12" count="1" selected="0">
            <x v="19"/>
          </reference>
          <reference field="21" count="1" selected="0">
            <x v="38"/>
          </reference>
        </references>
      </pivotArea>
    </format>
    <format dxfId="3567">
      <pivotArea dataOnly="0" labelOnly="1" fieldPosition="0">
        <references count="7">
          <reference field="0" count="1" selected="0">
            <x v="15"/>
          </reference>
          <reference field="1" count="1" selected="0">
            <x v="12"/>
          </reference>
          <reference field="8" count="1" selected="0">
            <x v="1"/>
          </reference>
          <reference field="10" count="1" selected="0">
            <x v="5"/>
          </reference>
          <reference field="11" count="1">
            <x v="3"/>
          </reference>
          <reference field="12" count="1" selected="0">
            <x v="4"/>
          </reference>
          <reference field="21" count="1" selected="0">
            <x v="15"/>
          </reference>
        </references>
      </pivotArea>
    </format>
    <format dxfId="3566">
      <pivotArea dataOnly="0" labelOnly="1" fieldPosition="0">
        <references count="7">
          <reference field="0" count="1" selected="0">
            <x v="47"/>
          </reference>
          <reference field="1" count="1" selected="0">
            <x v="7"/>
          </reference>
          <reference field="8" count="1" selected="0">
            <x v="0"/>
          </reference>
          <reference field="10" count="1" selected="0">
            <x v="8"/>
          </reference>
          <reference field="11" count="1">
            <x v="6"/>
          </reference>
          <reference field="12" count="1" selected="0">
            <x v="40"/>
          </reference>
          <reference field="21" count="1" selected="0">
            <x v="43"/>
          </reference>
        </references>
      </pivotArea>
    </format>
    <format dxfId="3565">
      <pivotArea dataOnly="0" labelOnly="1" fieldPosition="0">
        <references count="8">
          <reference field="0" count="1" selected="0">
            <x v="0"/>
          </reference>
          <reference field="1" count="1" selected="0">
            <x v="32"/>
          </reference>
          <reference field="8" count="1" selected="0">
            <x v="0"/>
          </reference>
          <reference field="10" count="1" selected="0">
            <x v="10"/>
          </reference>
          <reference field="11" count="1" selected="0">
            <x v="1"/>
          </reference>
          <reference field="12" count="1" selected="0">
            <x v="0"/>
          </reference>
          <reference field="17" count="1">
            <x v="13"/>
          </reference>
          <reference field="21" count="1" selected="0">
            <x v="43"/>
          </reference>
        </references>
      </pivotArea>
    </format>
    <format dxfId="3564">
      <pivotArea dataOnly="0" labelOnly="1" fieldPosition="0">
        <references count="8">
          <reference field="0" count="1" selected="0">
            <x v="1"/>
          </reference>
          <reference field="1" count="1" selected="0">
            <x v="33"/>
          </reference>
          <reference field="8" count="1" selected="0">
            <x v="0"/>
          </reference>
          <reference field="10" count="1" selected="0">
            <x v="10"/>
          </reference>
          <reference field="11" count="1" selected="0">
            <x v="1"/>
          </reference>
          <reference field="12" count="1" selected="0">
            <x v="18"/>
          </reference>
          <reference field="17" count="1">
            <x v="6"/>
          </reference>
          <reference field="21" count="1" selected="0">
            <x v="38"/>
          </reference>
        </references>
      </pivotArea>
    </format>
    <format dxfId="3563">
      <pivotArea dataOnly="0" labelOnly="1" fieldPosition="0">
        <references count="8">
          <reference field="0" count="1" selected="0">
            <x v="2"/>
          </reference>
          <reference field="1" count="1" selected="0">
            <x v="45"/>
          </reference>
          <reference field="8" count="1" selected="0">
            <x v="1"/>
          </reference>
          <reference field="10" count="1" selected="0">
            <x v="3"/>
          </reference>
          <reference field="11" count="1" selected="0">
            <x v="4"/>
          </reference>
          <reference field="12" count="1" selected="0">
            <x v="10"/>
          </reference>
          <reference field="17" count="1">
            <x v="17"/>
          </reference>
          <reference field="21" count="1" selected="0">
            <x v="15"/>
          </reference>
        </references>
      </pivotArea>
    </format>
    <format dxfId="3562">
      <pivotArea dataOnly="0" labelOnly="1" fieldPosition="0">
        <references count="8">
          <reference field="0" count="1" selected="0">
            <x v="5"/>
          </reference>
          <reference field="1" count="1" selected="0">
            <x v="26"/>
          </reference>
          <reference field="8" count="1" selected="0">
            <x v="1"/>
          </reference>
          <reference field="10" count="1" selected="0">
            <x v="10"/>
          </reference>
          <reference field="11" count="1" selected="0">
            <x v="1"/>
          </reference>
          <reference field="12" count="1" selected="0">
            <x v="19"/>
          </reference>
          <reference field="17" count="1">
            <x v="16"/>
          </reference>
          <reference field="21" count="1" selected="0">
            <x v="38"/>
          </reference>
        </references>
      </pivotArea>
    </format>
    <format dxfId="3561">
      <pivotArea dataOnly="0" labelOnly="1" fieldPosition="0">
        <references count="8">
          <reference field="0" count="1" selected="0">
            <x v="15"/>
          </reference>
          <reference field="1" count="1" selected="0">
            <x v="12"/>
          </reference>
          <reference field="8" count="1" selected="0">
            <x v="1"/>
          </reference>
          <reference field="10" count="1" selected="0">
            <x v="5"/>
          </reference>
          <reference field="11" count="1" selected="0">
            <x v="3"/>
          </reference>
          <reference field="12" count="1" selected="0">
            <x v="4"/>
          </reference>
          <reference field="17" count="1">
            <x v="0"/>
          </reference>
          <reference field="21" count="1" selected="0">
            <x v="15"/>
          </reference>
        </references>
      </pivotArea>
    </format>
    <format dxfId="3560">
      <pivotArea dataOnly="0" labelOnly="1" fieldPosition="0">
        <references count="8">
          <reference field="0" count="1" selected="0">
            <x v="47"/>
          </reference>
          <reference field="1" count="1" selected="0">
            <x v="7"/>
          </reference>
          <reference field="8" count="1" selected="0">
            <x v="0"/>
          </reference>
          <reference field="10" count="1" selected="0">
            <x v="8"/>
          </reference>
          <reference field="11" count="1" selected="0">
            <x v="6"/>
          </reference>
          <reference field="12" count="1" selected="0">
            <x v="40"/>
          </reference>
          <reference field="17" count="1">
            <x v="17"/>
          </reference>
          <reference field="21" count="1" selected="0">
            <x v="43"/>
          </reference>
        </references>
      </pivotArea>
    </format>
  </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topLeftCell="A4" workbookViewId="0"/>
  </sheetViews>
  <sheetFormatPr defaultRowHeight="14.5" x14ac:dyDescent="0.35"/>
  <cols>
    <col min="1" max="1" width="1" customWidth="1"/>
    <col min="2" max="2" width="5.54296875" bestFit="1" customWidth="1"/>
    <col min="3" max="3" width="13.453125" bestFit="1" customWidth="1"/>
    <col min="4" max="4" width="14.453125" customWidth="1"/>
    <col min="5" max="5" width="145.1796875" bestFit="1" customWidth="1"/>
  </cols>
  <sheetData>
    <row r="1" spans="2:5" ht="5.25" customHeight="1" thickBot="1" x14ac:dyDescent="0.4"/>
    <row r="2" spans="2:5" ht="16.5" customHeight="1" x14ac:dyDescent="0.35">
      <c r="B2" s="49" t="s">
        <v>252</v>
      </c>
      <c r="C2" s="50"/>
      <c r="D2" s="51"/>
      <c r="E2" s="55" t="s">
        <v>232</v>
      </c>
    </row>
    <row r="3" spans="2:5" ht="42" customHeight="1" thickBot="1" x14ac:dyDescent="0.4">
      <c r="B3" s="52"/>
      <c r="C3" s="53"/>
      <c r="D3" s="54"/>
      <c r="E3" s="56"/>
    </row>
    <row r="4" spans="2:5" ht="8.25" customHeight="1" x14ac:dyDescent="0.35"/>
    <row r="5" spans="2:5" ht="19.5" customHeight="1" thickBot="1" x14ac:dyDescent="0.4">
      <c r="C5" s="8" t="s">
        <v>226</v>
      </c>
      <c r="D5" s="8" t="s">
        <v>223</v>
      </c>
      <c r="E5" s="9" t="s">
        <v>224</v>
      </c>
    </row>
    <row r="6" spans="2:5" ht="19.5" customHeight="1" thickBot="1" x14ac:dyDescent="0.4">
      <c r="B6" s="19" t="s">
        <v>135</v>
      </c>
      <c r="C6" s="57" t="s">
        <v>225</v>
      </c>
      <c r="D6" s="57"/>
      <c r="E6" s="58"/>
    </row>
    <row r="7" spans="2:5" x14ac:dyDescent="0.35">
      <c r="B7" s="18">
        <v>1</v>
      </c>
      <c r="C7" s="10" t="s">
        <v>234</v>
      </c>
      <c r="D7" s="11" t="s">
        <v>229</v>
      </c>
      <c r="E7" s="12" t="s">
        <v>220</v>
      </c>
    </row>
    <row r="8" spans="2:5" x14ac:dyDescent="0.35">
      <c r="B8" s="11">
        <v>2</v>
      </c>
      <c r="C8" s="10" t="s">
        <v>234</v>
      </c>
      <c r="D8" s="11" t="s">
        <v>230</v>
      </c>
      <c r="E8" s="12" t="s">
        <v>235</v>
      </c>
    </row>
    <row r="9" spans="2:5" x14ac:dyDescent="0.35">
      <c r="B9" s="11">
        <v>3</v>
      </c>
      <c r="C9" s="10" t="s">
        <v>234</v>
      </c>
      <c r="D9" s="11" t="s">
        <v>231</v>
      </c>
      <c r="E9" s="12" t="s">
        <v>236</v>
      </c>
    </row>
    <row r="10" spans="2:5" ht="26" x14ac:dyDescent="0.35">
      <c r="B10" s="11">
        <v>4</v>
      </c>
      <c r="C10" s="10" t="s">
        <v>234</v>
      </c>
      <c r="D10" s="11" t="s">
        <v>237</v>
      </c>
      <c r="E10" s="29" t="s">
        <v>282</v>
      </c>
    </row>
    <row r="11" spans="2:5" ht="15" thickBot="1" x14ac:dyDescent="0.4">
      <c r="B11" s="14">
        <v>5</v>
      </c>
      <c r="C11" s="13" t="s">
        <v>234</v>
      </c>
      <c r="D11" s="14" t="s">
        <v>240</v>
      </c>
      <c r="E11" s="15" t="s">
        <v>241</v>
      </c>
    </row>
    <row r="12" spans="2:5" ht="15.5" thickTop="1" thickBot="1" x14ac:dyDescent="0.4"/>
    <row r="13" spans="2:5" ht="19.5" customHeight="1" thickBot="1" x14ac:dyDescent="0.4">
      <c r="B13" s="19" t="s">
        <v>135</v>
      </c>
      <c r="C13" s="57" t="s">
        <v>242</v>
      </c>
      <c r="D13" s="57"/>
      <c r="E13" s="58"/>
    </row>
    <row r="14" spans="2:5" x14ac:dyDescent="0.35">
      <c r="B14" s="18">
        <v>1</v>
      </c>
      <c r="C14" s="11" t="s">
        <v>234</v>
      </c>
      <c r="D14" s="11" t="s">
        <v>243</v>
      </c>
      <c r="E14" s="16" t="s">
        <v>244</v>
      </c>
    </row>
    <row r="15" spans="2:5" x14ac:dyDescent="0.35">
      <c r="B15" s="11">
        <v>2</v>
      </c>
      <c r="C15" s="11" t="s">
        <v>234</v>
      </c>
      <c r="D15" s="11" t="s">
        <v>245</v>
      </c>
      <c r="E15" s="16" t="s">
        <v>249</v>
      </c>
    </row>
    <row r="16" spans="2:5" x14ac:dyDescent="0.35">
      <c r="B16" s="11">
        <v>3</v>
      </c>
      <c r="C16" s="11" t="s">
        <v>234</v>
      </c>
      <c r="D16" s="11" t="s">
        <v>247</v>
      </c>
      <c r="E16" s="16" t="s">
        <v>248</v>
      </c>
    </row>
    <row r="17" spans="2:5" ht="52.5" thickBot="1" x14ac:dyDescent="0.4">
      <c r="B17" s="14">
        <v>4</v>
      </c>
      <c r="C17" s="14" t="s">
        <v>234</v>
      </c>
      <c r="D17" s="14" t="s">
        <v>250</v>
      </c>
      <c r="E17" s="17" t="s">
        <v>251</v>
      </c>
    </row>
    <row r="18" spans="2:5" ht="15" thickTop="1" x14ac:dyDescent="0.35"/>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topLeftCell="A4" zoomScaleNormal="100" workbookViewId="0"/>
  </sheetViews>
  <sheetFormatPr defaultRowHeight="14.5" x14ac:dyDescent="0.35"/>
  <cols>
    <col min="1" max="1" width="1" customWidth="1"/>
    <col min="2" max="2" width="5.54296875" bestFit="1" customWidth="1"/>
    <col min="3" max="3" width="13.453125" bestFit="1" customWidth="1"/>
    <col min="4" max="4" width="14.453125" customWidth="1"/>
    <col min="5" max="5" width="145.1796875" bestFit="1" customWidth="1"/>
  </cols>
  <sheetData>
    <row r="1" spans="2:5" ht="5.25" customHeight="1" thickBot="1" x14ac:dyDescent="0.4"/>
    <row r="2" spans="2:5" ht="16.5" customHeight="1" x14ac:dyDescent="0.35">
      <c r="B2" s="49" t="s">
        <v>253</v>
      </c>
      <c r="C2" s="50"/>
      <c r="D2" s="51"/>
      <c r="E2" s="55" t="s">
        <v>232</v>
      </c>
    </row>
    <row r="3" spans="2:5" ht="42" customHeight="1" thickBot="1" x14ac:dyDescent="0.4">
      <c r="B3" s="52"/>
      <c r="C3" s="53"/>
      <c r="D3" s="54"/>
      <c r="E3" s="56"/>
    </row>
    <row r="4" spans="2:5" ht="8.25" customHeight="1" x14ac:dyDescent="0.35"/>
    <row r="5" spans="2:5" ht="27" customHeight="1" x14ac:dyDescent="0.35">
      <c r="B5" s="22" t="s">
        <v>260</v>
      </c>
      <c r="C5" s="21"/>
      <c r="D5" s="20"/>
      <c r="E5" s="20"/>
    </row>
    <row r="6" spans="2:5" ht="19.5" customHeight="1" thickBot="1" x14ac:dyDescent="0.4">
      <c r="C6" s="8" t="s">
        <v>226</v>
      </c>
      <c r="D6" s="8" t="s">
        <v>257</v>
      </c>
      <c r="E6" s="9" t="s">
        <v>224</v>
      </c>
    </row>
    <row r="7" spans="2:5" ht="19.5" customHeight="1" thickBot="1" x14ac:dyDescent="0.4">
      <c r="B7" s="19" t="s">
        <v>135</v>
      </c>
      <c r="C7" s="57" t="s">
        <v>254</v>
      </c>
      <c r="D7" s="57"/>
      <c r="E7" s="58"/>
    </row>
    <row r="8" spans="2:5" x14ac:dyDescent="0.35">
      <c r="B8" s="18">
        <v>1</v>
      </c>
      <c r="C8" s="10" t="s">
        <v>256</v>
      </c>
      <c r="D8" s="11" t="s">
        <v>258</v>
      </c>
      <c r="E8" s="16" t="s">
        <v>259</v>
      </c>
    </row>
    <row r="9" spans="2:5" x14ac:dyDescent="0.35">
      <c r="B9" s="11">
        <v>2</v>
      </c>
      <c r="C9" s="10" t="s">
        <v>256</v>
      </c>
      <c r="D9" s="11"/>
      <c r="E9" s="16" t="s">
        <v>261</v>
      </c>
    </row>
    <row r="10" spans="2:5" x14ac:dyDescent="0.35">
      <c r="B10" s="11">
        <v>3</v>
      </c>
      <c r="C10" s="10" t="s">
        <v>256</v>
      </c>
      <c r="D10" s="11"/>
      <c r="E10" s="16" t="s">
        <v>262</v>
      </c>
    </row>
    <row r="11" spans="2:5" x14ac:dyDescent="0.35">
      <c r="B11" s="11">
        <v>4</v>
      </c>
      <c r="C11" s="10" t="s">
        <v>256</v>
      </c>
      <c r="D11" s="11"/>
      <c r="E11" s="16" t="s">
        <v>263</v>
      </c>
    </row>
    <row r="12" spans="2:5" ht="15" thickBot="1" x14ac:dyDescent="0.4">
      <c r="B12" s="14">
        <v>5</v>
      </c>
      <c r="C12" s="13" t="s">
        <v>256</v>
      </c>
      <c r="D12" s="14"/>
      <c r="E12" s="17" t="s">
        <v>264</v>
      </c>
    </row>
    <row r="13" spans="2:5" ht="15.5" thickTop="1" thickBot="1" x14ac:dyDescent="0.4"/>
    <row r="14" spans="2:5" ht="19.5" customHeight="1" thickBot="1" x14ac:dyDescent="0.4">
      <c r="B14" s="19" t="s">
        <v>135</v>
      </c>
      <c r="C14" s="57" t="s">
        <v>255</v>
      </c>
      <c r="D14" s="57"/>
      <c r="E14" s="58"/>
    </row>
    <row r="15" spans="2:5" x14ac:dyDescent="0.35">
      <c r="B15" s="18">
        <v>1</v>
      </c>
      <c r="C15" s="10" t="s">
        <v>256</v>
      </c>
      <c r="D15" s="11" t="s">
        <v>265</v>
      </c>
      <c r="E15" s="16" t="s">
        <v>273</v>
      </c>
    </row>
    <row r="16" spans="2:5" x14ac:dyDescent="0.35">
      <c r="B16" s="11">
        <v>2</v>
      </c>
      <c r="C16" s="10" t="s">
        <v>256</v>
      </c>
      <c r="D16" s="11" t="s">
        <v>266</v>
      </c>
      <c r="E16" s="16" t="s">
        <v>268</v>
      </c>
    </row>
    <row r="17" spans="2:5" x14ac:dyDescent="0.35">
      <c r="B17" s="11">
        <v>3</v>
      </c>
      <c r="C17" s="10" t="s">
        <v>256</v>
      </c>
      <c r="D17" s="11" t="s">
        <v>267</v>
      </c>
      <c r="E17" s="16" t="s">
        <v>269</v>
      </c>
    </row>
    <row r="18" spans="2:5" ht="15" thickBot="1" x14ac:dyDescent="0.4">
      <c r="B18" s="14">
        <v>4</v>
      </c>
      <c r="C18" s="13" t="s">
        <v>256</v>
      </c>
      <c r="D18" s="14" t="s">
        <v>271</v>
      </c>
      <c r="E18" s="17" t="s">
        <v>270</v>
      </c>
    </row>
    <row r="19" spans="2:5" ht="15" thickTop="1" x14ac:dyDescent="0.35"/>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4.5" x14ac:dyDescent="0.35"/>
  <cols>
    <col min="1" max="1" width="1" customWidth="1"/>
    <col min="2" max="2" width="5.54296875" bestFit="1" customWidth="1"/>
    <col min="3" max="3" width="13.453125" bestFit="1" customWidth="1"/>
    <col min="4" max="4" width="14.453125" customWidth="1"/>
    <col min="5" max="5" width="145.1796875" bestFit="1" customWidth="1"/>
  </cols>
  <sheetData>
    <row r="1" spans="2:5" ht="5.25" customHeight="1" thickBot="1" x14ac:dyDescent="0.4"/>
    <row r="2" spans="2:5" ht="16.5" customHeight="1" x14ac:dyDescent="0.35">
      <c r="B2" s="49" t="s">
        <v>272</v>
      </c>
      <c r="C2" s="50"/>
      <c r="D2" s="51"/>
      <c r="E2" s="55" t="s">
        <v>232</v>
      </c>
    </row>
    <row r="3" spans="2:5" ht="42" customHeight="1" thickBot="1" x14ac:dyDescent="0.4">
      <c r="B3" s="52"/>
      <c r="C3" s="53"/>
      <c r="D3" s="54"/>
      <c r="E3" s="56"/>
    </row>
    <row r="4" spans="2:5" ht="8.25" customHeight="1" x14ac:dyDescent="0.35"/>
    <row r="5" spans="2:5" ht="27" customHeight="1" x14ac:dyDescent="0.35">
      <c r="B5" s="22" t="s">
        <v>260</v>
      </c>
      <c r="C5" s="21"/>
      <c r="D5" s="20"/>
      <c r="E5" s="20"/>
    </row>
    <row r="6" spans="2:5" ht="19.5" customHeight="1" thickBot="1" x14ac:dyDescent="0.4">
      <c r="C6" s="8" t="s">
        <v>226</v>
      </c>
      <c r="D6" s="8" t="s">
        <v>257</v>
      </c>
      <c r="E6" s="9" t="s">
        <v>224</v>
      </c>
    </row>
    <row r="7" spans="2:5" ht="19.5" customHeight="1" thickBot="1" x14ac:dyDescent="0.4">
      <c r="B7" s="19" t="s">
        <v>135</v>
      </c>
      <c r="C7" s="57" t="s">
        <v>281</v>
      </c>
      <c r="D7" s="57"/>
      <c r="E7" s="58"/>
    </row>
    <row r="8" spans="2:5" x14ac:dyDescent="0.35">
      <c r="B8" s="18">
        <v>1</v>
      </c>
      <c r="C8" s="10" t="s">
        <v>227</v>
      </c>
      <c r="D8" s="11" t="s">
        <v>274</v>
      </c>
      <c r="E8" s="16" t="s">
        <v>275</v>
      </c>
    </row>
    <row r="9" spans="2:5" ht="15" customHeight="1" x14ac:dyDescent="0.35">
      <c r="B9" s="11">
        <v>2</v>
      </c>
      <c r="C9" s="10" t="s">
        <v>227</v>
      </c>
      <c r="D9" s="11"/>
      <c r="E9" s="25" t="s">
        <v>279</v>
      </c>
    </row>
    <row r="10" spans="2:5" x14ac:dyDescent="0.35">
      <c r="B10" s="11">
        <v>3</v>
      </c>
      <c r="C10" s="10" t="s">
        <v>227</v>
      </c>
      <c r="D10" s="11"/>
      <c r="E10" s="16" t="s">
        <v>276</v>
      </c>
    </row>
    <row r="11" spans="2:5" x14ac:dyDescent="0.35">
      <c r="B11" s="11">
        <v>4</v>
      </c>
      <c r="C11" s="10" t="s">
        <v>227</v>
      </c>
      <c r="D11" s="11"/>
      <c r="E11" s="16" t="s">
        <v>277</v>
      </c>
    </row>
    <row r="12" spans="2:5" x14ac:dyDescent="0.35">
      <c r="B12" s="26">
        <v>5</v>
      </c>
      <c r="C12" s="27" t="s">
        <v>227</v>
      </c>
      <c r="D12" s="26"/>
      <c r="E12" s="28" t="s">
        <v>264</v>
      </c>
    </row>
    <row r="13" spans="2:5" ht="15" thickBot="1" x14ac:dyDescent="0.4">
      <c r="B13" s="14">
        <v>5</v>
      </c>
      <c r="C13" s="13" t="s">
        <v>227</v>
      </c>
      <c r="D13" s="14" t="s">
        <v>280</v>
      </c>
      <c r="E13" s="17" t="s">
        <v>278</v>
      </c>
    </row>
    <row r="14" spans="2:5" ht="15" thickTop="1" x14ac:dyDescent="0.35"/>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I17"/>
  <sheetViews>
    <sheetView workbookViewId="0">
      <selection activeCell="K9" sqref="K9"/>
    </sheetView>
  </sheetViews>
  <sheetFormatPr defaultRowHeight="14.5" x14ac:dyDescent="0.35"/>
  <cols>
    <col min="2" max="2" width="18.6328125" bestFit="1" customWidth="1"/>
    <col min="3" max="3" width="15.26953125" bestFit="1" customWidth="1"/>
    <col min="4" max="4" width="5" bestFit="1" customWidth="1"/>
    <col min="5" max="5" width="10.7265625" bestFit="1" customWidth="1"/>
    <col min="7" max="7" width="15.453125" customWidth="1"/>
    <col min="8" max="8" width="8.81640625" customWidth="1"/>
  </cols>
  <sheetData>
    <row r="3" spans="2:9" x14ac:dyDescent="0.35">
      <c r="B3" s="36" t="s">
        <v>285</v>
      </c>
      <c r="C3" s="36" t="s">
        <v>283</v>
      </c>
      <c r="G3" s="38"/>
      <c r="H3" s="39"/>
      <c r="I3" s="39"/>
    </row>
    <row r="4" spans="2:9" x14ac:dyDescent="0.35">
      <c r="B4" s="36" t="s">
        <v>284</v>
      </c>
      <c r="C4" t="s">
        <v>138</v>
      </c>
      <c r="D4" t="s">
        <v>142</v>
      </c>
      <c r="G4" s="40" t="s">
        <v>287</v>
      </c>
      <c r="H4" s="41" t="s">
        <v>138</v>
      </c>
      <c r="I4" s="41" t="s">
        <v>142</v>
      </c>
    </row>
    <row r="5" spans="2:9" x14ac:dyDescent="0.35">
      <c r="B5" s="1" t="s">
        <v>159</v>
      </c>
      <c r="C5">
        <v>1</v>
      </c>
      <c r="D5">
        <v>2</v>
      </c>
      <c r="G5" s="42" t="s">
        <v>159</v>
      </c>
      <c r="H5">
        <f>COUNTIFS(SPORTSMEN!$K$2:$K$51,ANALYSIS!$G5,SPORTSMEN!$I$2:$I$51,ANALYSIS!$H$4)</f>
        <v>1</v>
      </c>
      <c r="I5">
        <f>COUNTIFS(SPORTSMEN!$K$2:$K$51,ANALYSIS!$G5,SPORTSMEN!$I$2:$I$51,ANALYSIS!$I$4)</f>
        <v>2</v>
      </c>
    </row>
    <row r="6" spans="2:9" x14ac:dyDescent="0.35">
      <c r="B6" s="1" t="s">
        <v>151</v>
      </c>
      <c r="C6">
        <v>6</v>
      </c>
      <c r="D6">
        <v>2</v>
      </c>
      <c r="G6" s="1" t="s">
        <v>151</v>
      </c>
      <c r="H6">
        <f>COUNTIFS(SPORTSMEN!$K$2:$K$51,ANALYSIS!$G6,SPORTSMEN!$I$2:$I$51,ANALYSIS!$H$4)</f>
        <v>6</v>
      </c>
      <c r="I6">
        <f>COUNTIFS(SPORTSMEN!$K$2:$K$51,ANALYSIS!$G6,SPORTSMEN!$I$2:$I$51,ANALYSIS!$I$4)</f>
        <v>2</v>
      </c>
    </row>
    <row r="7" spans="2:9" x14ac:dyDescent="0.35">
      <c r="B7" s="1" t="s">
        <v>153</v>
      </c>
      <c r="C7">
        <v>1</v>
      </c>
      <c r="D7">
        <v>2</v>
      </c>
      <c r="G7" s="42" t="s">
        <v>153</v>
      </c>
      <c r="H7">
        <f>COUNTIFS(SPORTSMEN!$K$2:$K$51,ANALYSIS!$G7,SPORTSMEN!$I$2:$I$51,ANALYSIS!$H$4)</f>
        <v>1</v>
      </c>
      <c r="I7">
        <f>COUNTIFS(SPORTSMEN!$K$2:$K$51,ANALYSIS!$G7,SPORTSMEN!$I$2:$I$51,ANALYSIS!$I$4)</f>
        <v>2</v>
      </c>
    </row>
    <row r="8" spans="2:9" x14ac:dyDescent="0.35">
      <c r="B8" s="1" t="s">
        <v>144</v>
      </c>
      <c r="D8">
        <v>2</v>
      </c>
      <c r="G8" s="1" t="s">
        <v>144</v>
      </c>
      <c r="H8">
        <f>COUNTIFS(SPORTSMEN!$K$2:$K$51,ANALYSIS!$G8,SPORTSMEN!$I$2:$I$51,ANALYSIS!$H$4)</f>
        <v>0</v>
      </c>
      <c r="I8">
        <f>COUNTIFS(SPORTSMEN!$K$2:$K$51,ANALYSIS!$G8,SPORTSMEN!$I$2:$I$51,ANALYSIS!$I$4)</f>
        <v>2</v>
      </c>
    </row>
    <row r="9" spans="2:9" x14ac:dyDescent="0.35">
      <c r="B9" s="1" t="s">
        <v>156</v>
      </c>
      <c r="C9">
        <v>3</v>
      </c>
      <c r="D9">
        <v>6</v>
      </c>
      <c r="G9" s="42" t="s">
        <v>156</v>
      </c>
      <c r="H9">
        <f>COUNTIFS(SPORTSMEN!$K$2:$K$51,ANALYSIS!$G9,SPORTSMEN!$I$2:$I$51,ANALYSIS!$H$4)</f>
        <v>3</v>
      </c>
      <c r="I9">
        <f>COUNTIFS(SPORTSMEN!$K$2:$K$51,ANALYSIS!$G9,SPORTSMEN!$I$2:$I$51,ANALYSIS!$I$4)</f>
        <v>6</v>
      </c>
    </row>
    <row r="10" spans="2:9" x14ac:dyDescent="0.35">
      <c r="B10" s="1" t="s">
        <v>149</v>
      </c>
      <c r="C10">
        <v>1</v>
      </c>
      <c r="D10">
        <v>4</v>
      </c>
      <c r="G10" s="1" t="s">
        <v>149</v>
      </c>
      <c r="H10">
        <f>COUNTIFS(SPORTSMEN!$K$2:$K$51,ANALYSIS!$G10,SPORTSMEN!$I$2:$I$51,ANALYSIS!$H$4)</f>
        <v>1</v>
      </c>
      <c r="I10">
        <f>COUNTIFS(SPORTSMEN!$K$2:$K$51,ANALYSIS!$G10,SPORTSMEN!$I$2:$I$51,ANALYSIS!$I$4)</f>
        <v>4</v>
      </c>
    </row>
    <row r="11" spans="2:9" x14ac:dyDescent="0.35">
      <c r="B11" s="1" t="s">
        <v>164</v>
      </c>
      <c r="C11">
        <v>2</v>
      </c>
      <c r="D11">
        <v>1</v>
      </c>
      <c r="G11" s="42" t="s">
        <v>164</v>
      </c>
      <c r="H11">
        <f>COUNTIFS(SPORTSMEN!$K$2:$K$51,ANALYSIS!$G11,SPORTSMEN!$I$2:$I$51,ANALYSIS!$H$4)</f>
        <v>2</v>
      </c>
      <c r="I11">
        <f>COUNTIFS(SPORTSMEN!$K$2:$K$51,ANALYSIS!$G11,SPORTSMEN!$I$2:$I$51,ANALYSIS!$I$4)</f>
        <v>1</v>
      </c>
    </row>
    <row r="12" spans="2:9" x14ac:dyDescent="0.35">
      <c r="B12" s="1" t="s">
        <v>161</v>
      </c>
      <c r="C12">
        <v>3</v>
      </c>
      <c r="G12" s="1" t="s">
        <v>161</v>
      </c>
      <c r="H12">
        <f>COUNTIFS(SPORTSMEN!$K$2:$K$51,ANALYSIS!$G12,SPORTSMEN!$I$2:$I$51,ANALYSIS!$H$4)</f>
        <v>3</v>
      </c>
      <c r="I12">
        <f>COUNTIFS(SPORTSMEN!$K$2:$K$51,ANALYSIS!$G12,SPORTSMEN!$I$2:$I$51,ANALYSIS!$I$4)</f>
        <v>0</v>
      </c>
    </row>
    <row r="13" spans="2:9" x14ac:dyDescent="0.35">
      <c r="B13" s="1" t="s">
        <v>167</v>
      </c>
      <c r="C13">
        <v>1</v>
      </c>
      <c r="D13">
        <v>1</v>
      </c>
      <c r="G13" s="42" t="s">
        <v>167</v>
      </c>
      <c r="H13">
        <f>COUNTIFS(SPORTSMEN!$K$2:$K$51,ANALYSIS!$G13,SPORTSMEN!$I$2:$I$51,ANALYSIS!$H$4)</f>
        <v>1</v>
      </c>
      <c r="I13">
        <f>COUNTIFS(SPORTSMEN!$K$2:$K$51,ANALYSIS!$G13,SPORTSMEN!$I$2:$I$51,ANALYSIS!$I$4)</f>
        <v>1</v>
      </c>
    </row>
    <row r="14" spans="2:9" x14ac:dyDescent="0.35">
      <c r="B14" s="1" t="s">
        <v>146</v>
      </c>
      <c r="C14">
        <v>3</v>
      </c>
      <c r="D14">
        <v>2</v>
      </c>
      <c r="G14" s="1" t="s">
        <v>146</v>
      </c>
      <c r="H14">
        <f>COUNTIFS(SPORTSMEN!$K$2:$K$51,ANALYSIS!$G14,SPORTSMEN!$I$2:$I$51,ANALYSIS!$H$4)</f>
        <v>3</v>
      </c>
      <c r="I14">
        <f>COUNTIFS(SPORTSMEN!$K$2:$K$51,ANALYSIS!$G14,SPORTSMEN!$I$2:$I$51,ANALYSIS!$I$4)</f>
        <v>2</v>
      </c>
    </row>
    <row r="15" spans="2:9" x14ac:dyDescent="0.35">
      <c r="B15" s="1" t="s">
        <v>140</v>
      </c>
      <c r="C15">
        <v>4</v>
      </c>
      <c r="D15">
        <v>3</v>
      </c>
      <c r="G15" s="42" t="s">
        <v>140</v>
      </c>
      <c r="H15">
        <f>COUNTIFS(SPORTSMEN!$K$2:$K$51,ANALYSIS!$G15,SPORTSMEN!$I$2:$I$51,ANALYSIS!$H$4)</f>
        <v>4</v>
      </c>
      <c r="I15">
        <f>COUNTIFS(SPORTSMEN!$K$2:$K$51,ANALYSIS!$G15,SPORTSMEN!$I$2:$I$51,ANALYSIS!$I$4)</f>
        <v>3</v>
      </c>
    </row>
    <row r="17" spans="2:7" ht="23.5" x14ac:dyDescent="0.55000000000000004">
      <c r="B17" s="44" t="s">
        <v>286</v>
      </c>
      <c r="G17" s="43" t="s">
        <v>288</v>
      </c>
    </row>
  </sheetData>
  <sortState xmlns:xlrd2="http://schemas.microsoft.com/office/spreadsheetml/2017/richdata2" ref="G4:I14">
    <sortCondition ref="G4:G1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1:H103"/>
  <sheetViews>
    <sheetView tabSelected="1" workbookViewId="0">
      <selection activeCell="A3" sqref="A3:A271"/>
    </sheetView>
  </sheetViews>
  <sheetFormatPr defaultRowHeight="14.5" x14ac:dyDescent="0.35"/>
  <cols>
    <col min="1" max="1" width="12" customWidth="1"/>
    <col min="2" max="2" width="22.08984375" customWidth="1"/>
    <col min="3" max="3" width="19.1796875" bestFit="1" customWidth="1"/>
    <col min="4" max="4" width="22.1796875" bestFit="1" customWidth="1"/>
    <col min="5" max="5" width="17.1796875" bestFit="1" customWidth="1"/>
    <col min="6" max="6" width="14.81640625" bestFit="1" customWidth="1"/>
    <col min="7" max="7" width="15.453125" bestFit="1" customWidth="1"/>
    <col min="8" max="8" width="11.453125" bestFit="1" customWidth="1"/>
    <col min="9" max="9" width="22.81640625" bestFit="1" customWidth="1"/>
    <col min="10" max="10" width="18" bestFit="1" customWidth="1"/>
    <col min="11" max="11" width="18.54296875" bestFit="1" customWidth="1"/>
    <col min="12" max="12" width="16.26953125" bestFit="1" customWidth="1"/>
    <col min="13" max="13" width="20" bestFit="1" customWidth="1"/>
    <col min="14" max="14" width="20.81640625" bestFit="1" customWidth="1"/>
    <col min="15" max="15" width="17" bestFit="1" customWidth="1"/>
    <col min="16" max="16" width="19.90625" bestFit="1" customWidth="1"/>
    <col min="17" max="17" width="20.453125" bestFit="1" customWidth="1"/>
    <col min="18" max="18" width="17.1796875" bestFit="1" customWidth="1"/>
    <col min="19" max="19" width="24.90625" bestFit="1" customWidth="1"/>
    <col min="20" max="20" width="26.54296875" bestFit="1" customWidth="1"/>
    <col min="21" max="21" width="20.26953125" bestFit="1" customWidth="1"/>
    <col min="22" max="22" width="16.453125" bestFit="1" customWidth="1"/>
    <col min="23" max="23" width="25.90625" bestFit="1" customWidth="1"/>
    <col min="24" max="24" width="22.7265625" bestFit="1" customWidth="1"/>
    <col min="25" max="25" width="23.90625" bestFit="1" customWidth="1"/>
    <col min="26" max="26" width="18.6328125" bestFit="1" customWidth="1"/>
    <col min="27" max="27" width="19.1796875" bestFit="1" customWidth="1"/>
    <col min="28" max="28" width="18.36328125" bestFit="1" customWidth="1"/>
    <col min="29" max="29" width="14.54296875" bestFit="1" customWidth="1"/>
    <col min="30" max="30" width="17.54296875" bestFit="1" customWidth="1"/>
    <col min="31" max="31" width="18.1796875" bestFit="1" customWidth="1"/>
    <col min="32" max="32" width="18.81640625" bestFit="1" customWidth="1"/>
    <col min="33" max="33" width="20.08984375" bestFit="1" customWidth="1"/>
    <col min="34" max="34" width="17.08984375" bestFit="1" customWidth="1"/>
    <col min="35" max="35" width="21.08984375" bestFit="1" customWidth="1"/>
    <col min="36" max="36" width="22.7265625" bestFit="1" customWidth="1"/>
    <col min="37" max="37" width="24.6328125" bestFit="1" customWidth="1"/>
    <col min="38" max="38" width="16.81640625" bestFit="1" customWidth="1"/>
    <col min="39" max="39" width="15.1796875" bestFit="1" customWidth="1"/>
    <col min="40" max="40" width="19.1796875" bestFit="1" customWidth="1"/>
    <col min="41" max="41" width="24.453125" bestFit="1" customWidth="1"/>
    <col min="42" max="42" width="20.90625" bestFit="1" customWidth="1"/>
    <col min="43" max="43" width="17.6328125" bestFit="1" customWidth="1"/>
    <col min="44" max="44" width="28.08984375" bestFit="1" customWidth="1"/>
    <col min="45" max="45" width="21.08984375" bestFit="1" customWidth="1"/>
    <col min="46" max="46" width="25.81640625" bestFit="1" customWidth="1"/>
    <col min="47" max="47" width="23.54296875" bestFit="1" customWidth="1"/>
    <col min="48" max="48" width="18.1796875" bestFit="1" customWidth="1"/>
    <col min="49" max="49" width="22" bestFit="1" customWidth="1"/>
    <col min="50" max="50" width="17.1796875" bestFit="1" customWidth="1"/>
    <col min="51" max="51" width="18.90625" bestFit="1" customWidth="1"/>
    <col min="52" max="52" width="10.7265625" bestFit="1" customWidth="1"/>
  </cols>
  <sheetData>
    <row r="1" spans="1:8" ht="15.5" x14ac:dyDescent="0.35">
      <c r="A1" s="46" t="s">
        <v>238</v>
      </c>
      <c r="B1" t="s">
        <v>289</v>
      </c>
    </row>
    <row r="3" spans="1:8" ht="18.5" x14ac:dyDescent="0.45">
      <c r="A3" s="45" t="s">
        <v>222</v>
      </c>
      <c r="B3" s="36" t="s">
        <v>221</v>
      </c>
      <c r="C3" s="36" t="s">
        <v>233</v>
      </c>
      <c r="D3" s="36" t="s">
        <v>170</v>
      </c>
      <c r="E3" s="36" t="s">
        <v>425</v>
      </c>
      <c r="F3" s="36" t="s">
        <v>228</v>
      </c>
      <c r="G3" s="36" t="s">
        <v>136</v>
      </c>
      <c r="H3" s="36" t="s">
        <v>172</v>
      </c>
    </row>
    <row r="4" spans="1:8" x14ac:dyDescent="0.35">
      <c r="A4" s="47">
        <v>1</v>
      </c>
      <c r="B4" s="48" t="s">
        <v>290</v>
      </c>
      <c r="C4" s="48" t="s">
        <v>340</v>
      </c>
      <c r="D4" s="48" t="s">
        <v>138</v>
      </c>
      <c r="E4" s="48" t="s">
        <v>390</v>
      </c>
      <c r="F4" s="48" t="s">
        <v>140</v>
      </c>
      <c r="G4" s="48" t="s">
        <v>139</v>
      </c>
      <c r="H4" s="48" t="s">
        <v>174</v>
      </c>
    </row>
    <row r="5" spans="1:8" x14ac:dyDescent="0.35">
      <c r="A5" s="48"/>
      <c r="B5" s="48"/>
      <c r="C5" s="48"/>
      <c r="D5" s="48"/>
      <c r="E5" s="48"/>
      <c r="F5" s="48"/>
    </row>
    <row r="6" spans="1:8" x14ac:dyDescent="0.35">
      <c r="A6" s="47">
        <v>2</v>
      </c>
      <c r="B6" s="48" t="s">
        <v>291</v>
      </c>
      <c r="C6" s="48" t="s">
        <v>341</v>
      </c>
      <c r="D6" s="48" t="s">
        <v>138</v>
      </c>
      <c r="E6" s="48" t="s">
        <v>391</v>
      </c>
      <c r="F6" s="48" t="s">
        <v>140</v>
      </c>
      <c r="G6" s="48" t="s">
        <v>139</v>
      </c>
      <c r="H6" s="48" t="s">
        <v>175</v>
      </c>
    </row>
    <row r="7" spans="1:8" x14ac:dyDescent="0.35">
      <c r="A7" s="48"/>
      <c r="B7" s="48"/>
      <c r="C7" s="48"/>
      <c r="D7" s="48"/>
      <c r="E7" s="48"/>
      <c r="F7" s="48"/>
    </row>
    <row r="8" spans="1:8" x14ac:dyDescent="0.35">
      <c r="A8" s="47">
        <v>3</v>
      </c>
      <c r="B8" s="48" t="s">
        <v>292</v>
      </c>
      <c r="C8" s="48" t="s">
        <v>342</v>
      </c>
      <c r="D8" s="48" t="s">
        <v>142</v>
      </c>
      <c r="E8" s="48" t="s">
        <v>392</v>
      </c>
      <c r="F8" s="48" t="s">
        <v>144</v>
      </c>
      <c r="G8" s="48" t="s">
        <v>143</v>
      </c>
      <c r="H8" s="48" t="s">
        <v>177</v>
      </c>
    </row>
    <row r="9" spans="1:8" x14ac:dyDescent="0.35">
      <c r="A9" s="48"/>
      <c r="B9" s="48"/>
      <c r="C9" s="48"/>
      <c r="D9" s="48"/>
      <c r="E9" s="48"/>
      <c r="F9" s="48"/>
    </row>
    <row r="10" spans="1:8" x14ac:dyDescent="0.35">
      <c r="A10" s="47">
        <v>4</v>
      </c>
      <c r="B10" s="48" t="s">
        <v>293</v>
      </c>
      <c r="C10" s="48" t="s">
        <v>343</v>
      </c>
      <c r="D10" s="48" t="s">
        <v>138</v>
      </c>
      <c r="E10" s="48" t="s">
        <v>393</v>
      </c>
      <c r="F10" s="48"/>
      <c r="G10" s="48"/>
      <c r="H10" s="48"/>
    </row>
    <row r="11" spans="1:8" x14ac:dyDescent="0.35">
      <c r="A11" s="48"/>
      <c r="B11" s="48"/>
      <c r="C11" s="48"/>
      <c r="D11" s="48"/>
    </row>
    <row r="12" spans="1:8" x14ac:dyDescent="0.35">
      <c r="A12" s="47">
        <v>5</v>
      </c>
      <c r="B12" s="48" t="s">
        <v>294</v>
      </c>
      <c r="C12" s="48" t="s">
        <v>344</v>
      </c>
      <c r="D12" s="48" t="s">
        <v>142</v>
      </c>
      <c r="E12" s="48" t="s">
        <v>394</v>
      </c>
      <c r="F12" s="48"/>
      <c r="G12" s="48"/>
      <c r="H12" s="48"/>
    </row>
    <row r="13" spans="1:8" x14ac:dyDescent="0.35">
      <c r="A13" s="48"/>
      <c r="B13" s="48"/>
      <c r="C13" s="48"/>
      <c r="D13" s="48"/>
    </row>
    <row r="14" spans="1:8" x14ac:dyDescent="0.35">
      <c r="A14" s="47">
        <v>6</v>
      </c>
      <c r="B14" s="48" t="s">
        <v>295</v>
      </c>
      <c r="C14" s="48" t="s">
        <v>345</v>
      </c>
      <c r="D14" s="48" t="s">
        <v>142</v>
      </c>
      <c r="E14" s="48" t="s">
        <v>391</v>
      </c>
      <c r="F14" s="48" t="s">
        <v>140</v>
      </c>
      <c r="G14" s="48" t="s">
        <v>139</v>
      </c>
      <c r="H14" s="48" t="s">
        <v>180</v>
      </c>
    </row>
    <row r="15" spans="1:8" x14ac:dyDescent="0.35">
      <c r="A15" s="48"/>
      <c r="B15" s="48"/>
      <c r="C15" s="48"/>
      <c r="D15" s="48"/>
      <c r="E15" s="48"/>
      <c r="F15" s="48"/>
    </row>
    <row r="16" spans="1:8" x14ac:dyDescent="0.35">
      <c r="A16" s="47">
        <v>7</v>
      </c>
      <c r="B16" s="48" t="s">
        <v>296</v>
      </c>
      <c r="C16" s="48" t="s">
        <v>346</v>
      </c>
      <c r="D16" s="48" t="s">
        <v>138</v>
      </c>
      <c r="E16" s="48" t="s">
        <v>395</v>
      </c>
      <c r="F16" s="48"/>
      <c r="G16" s="48"/>
      <c r="H16" s="48"/>
    </row>
    <row r="17" spans="1:8" x14ac:dyDescent="0.35">
      <c r="A17" s="48"/>
      <c r="B17" s="48"/>
      <c r="C17" s="48"/>
      <c r="D17" s="48"/>
    </row>
    <row r="18" spans="1:8" x14ac:dyDescent="0.35">
      <c r="A18" s="47">
        <v>8</v>
      </c>
      <c r="B18" s="48" t="s">
        <v>297</v>
      </c>
      <c r="C18" s="48" t="s">
        <v>347</v>
      </c>
      <c r="D18" s="48" t="s">
        <v>142</v>
      </c>
      <c r="E18" s="48" t="s">
        <v>396</v>
      </c>
      <c r="F18" s="48"/>
      <c r="G18" s="48"/>
      <c r="H18" s="48"/>
    </row>
    <row r="19" spans="1:8" x14ac:dyDescent="0.35">
      <c r="A19" s="48"/>
      <c r="B19" s="48"/>
      <c r="C19" s="48"/>
      <c r="D19" s="48"/>
    </row>
    <row r="20" spans="1:8" x14ac:dyDescent="0.35">
      <c r="A20" s="47">
        <v>9</v>
      </c>
      <c r="B20" s="48" t="s">
        <v>298</v>
      </c>
      <c r="C20" s="48" t="s">
        <v>348</v>
      </c>
      <c r="D20" s="48" t="s">
        <v>138</v>
      </c>
      <c r="E20" s="48" t="s">
        <v>397</v>
      </c>
      <c r="F20" s="48"/>
      <c r="G20" s="48"/>
      <c r="H20" s="48"/>
    </row>
    <row r="21" spans="1:8" x14ac:dyDescent="0.35">
      <c r="A21" s="48"/>
      <c r="B21" s="48"/>
      <c r="C21" s="48"/>
      <c r="D21" s="48"/>
    </row>
    <row r="22" spans="1:8" x14ac:dyDescent="0.35">
      <c r="A22" s="47">
        <v>10</v>
      </c>
      <c r="B22" s="48" t="s">
        <v>299</v>
      </c>
      <c r="C22" s="48" t="s">
        <v>349</v>
      </c>
      <c r="D22" s="48" t="s">
        <v>142</v>
      </c>
      <c r="E22" s="48" t="s">
        <v>398</v>
      </c>
      <c r="F22" s="48"/>
      <c r="G22" s="48"/>
      <c r="H22" s="48"/>
    </row>
    <row r="23" spans="1:8" x14ac:dyDescent="0.35">
      <c r="A23" s="48"/>
      <c r="B23" s="48"/>
      <c r="C23" s="48"/>
      <c r="D23" s="48"/>
    </row>
    <row r="24" spans="1:8" x14ac:dyDescent="0.35">
      <c r="A24" s="47">
        <v>11</v>
      </c>
      <c r="B24" s="48" t="s">
        <v>300</v>
      </c>
      <c r="C24" s="48" t="s">
        <v>350</v>
      </c>
      <c r="D24" s="48" t="s">
        <v>142</v>
      </c>
      <c r="E24" s="48" t="s">
        <v>399</v>
      </c>
      <c r="F24" s="48"/>
      <c r="G24" s="48"/>
      <c r="H24" s="48"/>
    </row>
    <row r="25" spans="1:8" x14ac:dyDescent="0.35">
      <c r="A25" s="48"/>
      <c r="B25" s="48"/>
      <c r="C25" s="48"/>
      <c r="D25" s="48"/>
    </row>
    <row r="26" spans="1:8" x14ac:dyDescent="0.35">
      <c r="A26" s="47">
        <v>12</v>
      </c>
      <c r="B26" s="48" t="s">
        <v>301</v>
      </c>
      <c r="C26" s="48" t="s">
        <v>351</v>
      </c>
      <c r="D26" s="48" t="s">
        <v>138</v>
      </c>
      <c r="E26" s="48" t="s">
        <v>400</v>
      </c>
      <c r="F26" s="48"/>
      <c r="G26" s="48"/>
      <c r="H26" s="48"/>
    </row>
    <row r="27" spans="1:8" x14ac:dyDescent="0.35">
      <c r="A27" s="48"/>
      <c r="B27" s="48"/>
      <c r="C27" s="48"/>
      <c r="D27" s="48"/>
    </row>
    <row r="28" spans="1:8" x14ac:dyDescent="0.35">
      <c r="A28" s="47">
        <v>13</v>
      </c>
      <c r="B28" s="48" t="s">
        <v>302</v>
      </c>
      <c r="C28" s="48" t="s">
        <v>352</v>
      </c>
      <c r="D28" s="48" t="s">
        <v>138</v>
      </c>
      <c r="E28" s="48" t="s">
        <v>400</v>
      </c>
      <c r="F28" s="48"/>
      <c r="G28" s="48"/>
      <c r="H28" s="48"/>
    </row>
    <row r="29" spans="1:8" x14ac:dyDescent="0.35">
      <c r="A29" s="48"/>
      <c r="B29" s="48"/>
      <c r="C29" s="48"/>
      <c r="D29" s="48"/>
    </row>
    <row r="30" spans="1:8" x14ac:dyDescent="0.35">
      <c r="A30" s="47">
        <v>14</v>
      </c>
      <c r="B30" s="48" t="s">
        <v>303</v>
      </c>
      <c r="C30" s="48" t="s">
        <v>353</v>
      </c>
      <c r="D30" s="48" t="s">
        <v>142</v>
      </c>
      <c r="E30" s="48" t="s">
        <v>401</v>
      </c>
      <c r="F30" s="48"/>
      <c r="G30" s="48"/>
      <c r="H30" s="48"/>
    </row>
    <row r="31" spans="1:8" x14ac:dyDescent="0.35">
      <c r="A31" s="48"/>
      <c r="B31" s="48"/>
      <c r="C31" s="48"/>
      <c r="D31" s="48"/>
    </row>
    <row r="32" spans="1:8" x14ac:dyDescent="0.35">
      <c r="A32" s="47">
        <v>15</v>
      </c>
      <c r="B32" s="48" t="s">
        <v>304</v>
      </c>
      <c r="C32" s="48" t="s">
        <v>354</v>
      </c>
      <c r="D32" s="48" t="s">
        <v>138</v>
      </c>
      <c r="E32" s="48" t="s">
        <v>402</v>
      </c>
      <c r="F32" s="48"/>
      <c r="G32" s="48"/>
      <c r="H32" s="48"/>
    </row>
    <row r="33" spans="1:8" x14ac:dyDescent="0.35">
      <c r="A33" s="48"/>
      <c r="B33" s="48"/>
      <c r="C33" s="48"/>
      <c r="D33" s="48"/>
    </row>
    <row r="34" spans="1:8" x14ac:dyDescent="0.35">
      <c r="A34" s="47">
        <v>16</v>
      </c>
      <c r="B34" s="48" t="s">
        <v>305</v>
      </c>
      <c r="C34" s="48" t="s">
        <v>355</v>
      </c>
      <c r="D34" s="48" t="s">
        <v>142</v>
      </c>
      <c r="E34" s="48" t="s">
        <v>392</v>
      </c>
      <c r="F34" s="48" t="s">
        <v>149</v>
      </c>
      <c r="G34" s="48" t="s">
        <v>148</v>
      </c>
      <c r="H34" s="48" t="s">
        <v>178</v>
      </c>
    </row>
    <row r="35" spans="1:8" x14ac:dyDescent="0.35">
      <c r="A35" s="48"/>
      <c r="B35" s="48"/>
      <c r="C35" s="48"/>
      <c r="D35" s="48"/>
      <c r="E35" s="48"/>
      <c r="F35" s="48"/>
    </row>
    <row r="36" spans="1:8" x14ac:dyDescent="0.35">
      <c r="A36" s="47">
        <v>17</v>
      </c>
      <c r="B36" s="48" t="s">
        <v>306</v>
      </c>
      <c r="C36" s="48" t="s">
        <v>356</v>
      </c>
      <c r="D36" s="48" t="s">
        <v>142</v>
      </c>
      <c r="E36" s="48" t="s">
        <v>403</v>
      </c>
      <c r="F36" s="48"/>
      <c r="G36" s="48"/>
      <c r="H36" s="48"/>
    </row>
    <row r="37" spans="1:8" x14ac:dyDescent="0.35">
      <c r="A37" s="48"/>
      <c r="B37" s="48"/>
      <c r="C37" s="48"/>
      <c r="D37" s="48"/>
    </row>
    <row r="38" spans="1:8" x14ac:dyDescent="0.35">
      <c r="A38" s="47">
        <v>18</v>
      </c>
      <c r="B38" s="48" t="s">
        <v>307</v>
      </c>
      <c r="C38" s="48" t="s">
        <v>357</v>
      </c>
      <c r="D38" s="48" t="s">
        <v>142</v>
      </c>
      <c r="E38" s="48" t="s">
        <v>401</v>
      </c>
      <c r="F38" s="48"/>
      <c r="G38" s="48"/>
      <c r="H38" s="48"/>
    </row>
    <row r="39" spans="1:8" x14ac:dyDescent="0.35">
      <c r="A39" s="48"/>
      <c r="B39" s="48"/>
      <c r="C39" s="48"/>
      <c r="D39" s="48"/>
    </row>
    <row r="40" spans="1:8" x14ac:dyDescent="0.35">
      <c r="A40" s="47">
        <v>19</v>
      </c>
      <c r="B40" s="48" t="s">
        <v>308</v>
      </c>
      <c r="C40" s="48" t="s">
        <v>358</v>
      </c>
      <c r="D40" s="48" t="s">
        <v>138</v>
      </c>
      <c r="E40" s="48" t="s">
        <v>400</v>
      </c>
      <c r="F40" s="48"/>
      <c r="G40" s="48"/>
      <c r="H40" s="48"/>
    </row>
    <row r="41" spans="1:8" x14ac:dyDescent="0.35">
      <c r="A41" s="48"/>
      <c r="B41" s="48"/>
      <c r="C41" s="48"/>
      <c r="D41" s="48"/>
    </row>
    <row r="42" spans="1:8" x14ac:dyDescent="0.35">
      <c r="A42" s="47">
        <v>20</v>
      </c>
      <c r="B42" s="48" t="s">
        <v>309</v>
      </c>
      <c r="C42" s="48" t="s">
        <v>359</v>
      </c>
      <c r="D42" s="48" t="s">
        <v>142</v>
      </c>
      <c r="E42" s="48" t="s">
        <v>404</v>
      </c>
      <c r="F42" s="48"/>
      <c r="G42" s="48"/>
      <c r="H42" s="48"/>
    </row>
    <row r="43" spans="1:8" x14ac:dyDescent="0.35">
      <c r="A43" s="48"/>
      <c r="B43" s="48"/>
      <c r="C43" s="48"/>
      <c r="D43" s="48"/>
    </row>
    <row r="44" spans="1:8" x14ac:dyDescent="0.35">
      <c r="A44" s="47">
        <v>21</v>
      </c>
      <c r="B44" s="48" t="s">
        <v>310</v>
      </c>
      <c r="C44" s="48" t="s">
        <v>360</v>
      </c>
      <c r="D44" s="48" t="s">
        <v>142</v>
      </c>
      <c r="E44" s="48" t="s">
        <v>405</v>
      </c>
      <c r="F44" s="48"/>
      <c r="G44" s="48"/>
      <c r="H44" s="48"/>
    </row>
    <row r="45" spans="1:8" x14ac:dyDescent="0.35">
      <c r="A45" s="48"/>
      <c r="B45" s="48"/>
      <c r="C45" s="48"/>
      <c r="D45" s="48"/>
    </row>
    <row r="46" spans="1:8" x14ac:dyDescent="0.35">
      <c r="A46" s="47">
        <v>22</v>
      </c>
      <c r="B46" s="48" t="s">
        <v>311</v>
      </c>
      <c r="C46" s="48" t="s">
        <v>361</v>
      </c>
      <c r="D46" s="48" t="s">
        <v>138</v>
      </c>
      <c r="E46" s="48" t="s">
        <v>398</v>
      </c>
      <c r="F46" s="48"/>
      <c r="G46" s="48"/>
      <c r="H46" s="48"/>
    </row>
    <row r="47" spans="1:8" x14ac:dyDescent="0.35">
      <c r="A47" s="48"/>
      <c r="B47" s="48"/>
      <c r="C47" s="48"/>
      <c r="D47" s="48"/>
    </row>
    <row r="48" spans="1:8" x14ac:dyDescent="0.35">
      <c r="A48" s="47">
        <v>23</v>
      </c>
      <c r="B48" s="48" t="s">
        <v>312</v>
      </c>
      <c r="C48" s="48" t="s">
        <v>362</v>
      </c>
      <c r="D48" s="48" t="s">
        <v>138</v>
      </c>
      <c r="E48" s="48" t="s">
        <v>406</v>
      </c>
      <c r="F48" s="48"/>
      <c r="G48" s="48"/>
      <c r="H48" s="48"/>
    </row>
    <row r="49" spans="1:8" x14ac:dyDescent="0.35">
      <c r="A49" s="48"/>
      <c r="B49" s="48"/>
      <c r="C49" s="48"/>
      <c r="D49" s="48"/>
    </row>
    <row r="50" spans="1:8" x14ac:dyDescent="0.35">
      <c r="A50" s="47">
        <v>24</v>
      </c>
      <c r="B50" s="48" t="s">
        <v>313</v>
      </c>
      <c r="C50" s="48" t="s">
        <v>363</v>
      </c>
      <c r="D50" s="48" t="s">
        <v>138</v>
      </c>
      <c r="E50" s="48" t="s">
        <v>395</v>
      </c>
      <c r="F50" s="48"/>
      <c r="G50" s="48"/>
      <c r="H50" s="48"/>
    </row>
    <row r="51" spans="1:8" x14ac:dyDescent="0.35">
      <c r="A51" s="48"/>
      <c r="B51" s="48"/>
      <c r="C51" s="48"/>
      <c r="D51" s="48"/>
    </row>
    <row r="52" spans="1:8" x14ac:dyDescent="0.35">
      <c r="A52" s="47">
        <v>25</v>
      </c>
      <c r="B52" s="48" t="s">
        <v>314</v>
      </c>
      <c r="C52" s="48" t="s">
        <v>364</v>
      </c>
      <c r="D52" s="48" t="s">
        <v>138</v>
      </c>
      <c r="E52" s="48" t="s">
        <v>407</v>
      </c>
      <c r="F52" s="48"/>
      <c r="G52" s="48"/>
      <c r="H52" s="48"/>
    </row>
    <row r="53" spans="1:8" x14ac:dyDescent="0.35">
      <c r="A53" s="48"/>
      <c r="B53" s="48"/>
      <c r="C53" s="48"/>
      <c r="D53" s="48"/>
    </row>
    <row r="54" spans="1:8" x14ac:dyDescent="0.35">
      <c r="A54" s="47">
        <v>26</v>
      </c>
      <c r="B54" s="48" t="s">
        <v>315</v>
      </c>
      <c r="C54" s="48" t="s">
        <v>365</v>
      </c>
      <c r="D54" s="48" t="s">
        <v>138</v>
      </c>
      <c r="E54" s="48" t="s">
        <v>408</v>
      </c>
      <c r="F54" s="48"/>
      <c r="G54" s="48"/>
      <c r="H54" s="48"/>
    </row>
    <row r="55" spans="1:8" x14ac:dyDescent="0.35">
      <c r="A55" s="48"/>
      <c r="B55" s="48"/>
      <c r="C55" s="48"/>
      <c r="D55" s="48"/>
    </row>
    <row r="56" spans="1:8" x14ac:dyDescent="0.35">
      <c r="A56" s="47">
        <v>27</v>
      </c>
      <c r="B56" s="48" t="s">
        <v>316</v>
      </c>
      <c r="C56" s="48" t="s">
        <v>366</v>
      </c>
      <c r="D56" s="48" t="s">
        <v>142</v>
      </c>
      <c r="E56" s="48" t="s">
        <v>394</v>
      </c>
      <c r="F56" s="48"/>
      <c r="G56" s="48"/>
      <c r="H56" s="48"/>
    </row>
    <row r="57" spans="1:8" x14ac:dyDescent="0.35">
      <c r="A57" s="48"/>
      <c r="B57" s="48"/>
      <c r="C57" s="48"/>
      <c r="D57" s="48"/>
    </row>
    <row r="58" spans="1:8" x14ac:dyDescent="0.35">
      <c r="A58" s="47">
        <v>28</v>
      </c>
      <c r="B58" s="48" t="s">
        <v>317</v>
      </c>
      <c r="C58" s="48" t="s">
        <v>367</v>
      </c>
      <c r="D58" s="48" t="s">
        <v>142</v>
      </c>
      <c r="E58" s="48" t="s">
        <v>409</v>
      </c>
      <c r="F58" s="48"/>
      <c r="G58" s="48"/>
      <c r="H58" s="48"/>
    </row>
    <row r="59" spans="1:8" x14ac:dyDescent="0.35">
      <c r="A59" s="48"/>
      <c r="B59" s="48"/>
      <c r="C59" s="48"/>
      <c r="D59" s="48"/>
    </row>
    <row r="60" spans="1:8" x14ac:dyDescent="0.35">
      <c r="A60" s="47">
        <v>29</v>
      </c>
      <c r="B60" s="48" t="s">
        <v>318</v>
      </c>
      <c r="C60" s="48" t="s">
        <v>368</v>
      </c>
      <c r="D60" s="48" t="s">
        <v>138</v>
      </c>
      <c r="E60" s="48" t="s">
        <v>410</v>
      </c>
      <c r="F60" s="48"/>
      <c r="G60" s="48"/>
      <c r="H60" s="48"/>
    </row>
    <row r="61" spans="1:8" x14ac:dyDescent="0.35">
      <c r="A61" s="48"/>
      <c r="B61" s="48"/>
      <c r="C61" s="48"/>
      <c r="D61" s="48"/>
    </row>
    <row r="62" spans="1:8" x14ac:dyDescent="0.35">
      <c r="A62" s="47">
        <v>30</v>
      </c>
      <c r="B62" s="48" t="s">
        <v>319</v>
      </c>
      <c r="C62" s="48" t="s">
        <v>369</v>
      </c>
      <c r="D62" s="48" t="s">
        <v>138</v>
      </c>
      <c r="E62" s="48" t="s">
        <v>411</v>
      </c>
      <c r="F62" s="48"/>
      <c r="G62" s="48"/>
      <c r="H62" s="48"/>
    </row>
    <row r="63" spans="1:8" x14ac:dyDescent="0.35">
      <c r="A63" s="48"/>
      <c r="B63" s="48"/>
      <c r="C63" s="48"/>
      <c r="D63" s="48"/>
    </row>
    <row r="64" spans="1:8" x14ac:dyDescent="0.35">
      <c r="A64" s="47">
        <v>31</v>
      </c>
      <c r="B64" s="48" t="s">
        <v>320</v>
      </c>
      <c r="C64" s="48" t="s">
        <v>370</v>
      </c>
      <c r="D64" s="48" t="s">
        <v>138</v>
      </c>
      <c r="E64" s="48" t="s">
        <v>412</v>
      </c>
      <c r="F64" s="48"/>
      <c r="G64" s="48"/>
      <c r="H64" s="48"/>
    </row>
    <row r="65" spans="1:8" x14ac:dyDescent="0.35">
      <c r="A65" s="48"/>
      <c r="B65" s="48"/>
      <c r="C65" s="48"/>
      <c r="D65" s="48"/>
    </row>
    <row r="66" spans="1:8" x14ac:dyDescent="0.35">
      <c r="A66" s="47">
        <v>32</v>
      </c>
      <c r="B66" s="48" t="s">
        <v>321</v>
      </c>
      <c r="C66" s="48" t="s">
        <v>371</v>
      </c>
      <c r="D66" s="48" t="s">
        <v>138</v>
      </c>
      <c r="E66" s="48" t="s">
        <v>394</v>
      </c>
      <c r="F66" s="48"/>
      <c r="G66" s="48"/>
      <c r="H66" s="48"/>
    </row>
    <row r="67" spans="1:8" x14ac:dyDescent="0.35">
      <c r="A67" s="48"/>
      <c r="B67" s="48"/>
      <c r="C67" s="48"/>
      <c r="D67" s="48"/>
    </row>
    <row r="68" spans="1:8" x14ac:dyDescent="0.35">
      <c r="A68" s="47">
        <v>33</v>
      </c>
      <c r="B68" s="48" t="s">
        <v>322</v>
      </c>
      <c r="C68" s="48" t="s">
        <v>372</v>
      </c>
      <c r="D68" s="48" t="s">
        <v>142</v>
      </c>
      <c r="E68" s="48" t="s">
        <v>413</v>
      </c>
      <c r="F68" s="48"/>
      <c r="G68" s="48"/>
      <c r="H68" s="48"/>
    </row>
    <row r="69" spans="1:8" x14ac:dyDescent="0.35">
      <c r="A69" s="48"/>
      <c r="B69" s="48"/>
      <c r="C69" s="48"/>
      <c r="D69" s="48"/>
    </row>
    <row r="70" spans="1:8" x14ac:dyDescent="0.35">
      <c r="A70" s="47">
        <v>34</v>
      </c>
      <c r="B70" s="48" t="s">
        <v>323</v>
      </c>
      <c r="C70" s="48" t="s">
        <v>373</v>
      </c>
      <c r="D70" s="48" t="s">
        <v>142</v>
      </c>
      <c r="E70" s="48" t="s">
        <v>414</v>
      </c>
      <c r="F70" s="48"/>
      <c r="G70" s="48"/>
      <c r="H70" s="48"/>
    </row>
    <row r="71" spans="1:8" x14ac:dyDescent="0.35">
      <c r="A71" s="48"/>
      <c r="B71" s="48"/>
      <c r="C71" s="48"/>
      <c r="D71" s="48"/>
    </row>
    <row r="72" spans="1:8" x14ac:dyDescent="0.35">
      <c r="A72" s="47">
        <v>35</v>
      </c>
      <c r="B72" s="48" t="s">
        <v>324</v>
      </c>
      <c r="C72" s="48" t="s">
        <v>374</v>
      </c>
      <c r="D72" s="48" t="s">
        <v>142</v>
      </c>
      <c r="E72" s="48" t="s">
        <v>406</v>
      </c>
      <c r="F72" s="48"/>
      <c r="G72" s="48"/>
      <c r="H72" s="48"/>
    </row>
    <row r="73" spans="1:8" x14ac:dyDescent="0.35">
      <c r="A73" s="48"/>
      <c r="B73" s="48"/>
      <c r="C73" s="48"/>
      <c r="D73" s="48"/>
    </row>
    <row r="74" spans="1:8" x14ac:dyDescent="0.35">
      <c r="A74" s="47">
        <v>36</v>
      </c>
      <c r="B74" s="48" t="s">
        <v>325</v>
      </c>
      <c r="C74" s="48" t="s">
        <v>375</v>
      </c>
      <c r="D74" s="48" t="s">
        <v>142</v>
      </c>
      <c r="E74" s="48" t="s">
        <v>393</v>
      </c>
      <c r="F74" s="48"/>
      <c r="G74" s="48"/>
      <c r="H74" s="48"/>
    </row>
    <row r="75" spans="1:8" x14ac:dyDescent="0.35">
      <c r="A75" s="48"/>
      <c r="B75" s="48"/>
      <c r="C75" s="48"/>
      <c r="D75" s="48"/>
    </row>
    <row r="76" spans="1:8" x14ac:dyDescent="0.35">
      <c r="A76" s="47">
        <v>37</v>
      </c>
      <c r="B76" s="48" t="s">
        <v>326</v>
      </c>
      <c r="C76" s="48" t="s">
        <v>376</v>
      </c>
      <c r="D76" s="48" t="s">
        <v>142</v>
      </c>
      <c r="E76" s="48" t="s">
        <v>399</v>
      </c>
      <c r="F76" s="48"/>
      <c r="G76" s="48"/>
      <c r="H76" s="48"/>
    </row>
    <row r="77" spans="1:8" x14ac:dyDescent="0.35">
      <c r="A77" s="48"/>
      <c r="B77" s="48"/>
      <c r="C77" s="48"/>
      <c r="D77" s="48"/>
    </row>
    <row r="78" spans="1:8" x14ac:dyDescent="0.35">
      <c r="A78" s="47">
        <v>38</v>
      </c>
      <c r="B78" s="48" t="s">
        <v>327</v>
      </c>
      <c r="C78" s="48" t="s">
        <v>377</v>
      </c>
      <c r="D78" s="48" t="s">
        <v>142</v>
      </c>
      <c r="E78" s="48" t="s">
        <v>415</v>
      </c>
      <c r="F78" s="48"/>
      <c r="G78" s="48"/>
      <c r="H78" s="48"/>
    </row>
    <row r="79" spans="1:8" x14ac:dyDescent="0.35">
      <c r="A79" s="48"/>
      <c r="B79" s="48"/>
      <c r="C79" s="48"/>
      <c r="D79" s="48"/>
    </row>
    <row r="80" spans="1:8" x14ac:dyDescent="0.35">
      <c r="A80" s="47">
        <v>39</v>
      </c>
      <c r="B80" s="48" t="s">
        <v>328</v>
      </c>
      <c r="C80" s="48" t="s">
        <v>378</v>
      </c>
      <c r="D80" s="48" t="s">
        <v>142</v>
      </c>
      <c r="E80" s="48" t="s">
        <v>416</v>
      </c>
      <c r="F80" s="48"/>
      <c r="G80" s="48"/>
      <c r="H80" s="48"/>
    </row>
    <row r="81" spans="1:8" x14ac:dyDescent="0.35">
      <c r="A81" s="48"/>
      <c r="B81" s="48"/>
      <c r="C81" s="48"/>
      <c r="D81" s="48"/>
    </row>
    <row r="82" spans="1:8" x14ac:dyDescent="0.35">
      <c r="A82" s="47">
        <v>40</v>
      </c>
      <c r="B82" s="48" t="s">
        <v>329</v>
      </c>
      <c r="C82" s="48" t="s">
        <v>379</v>
      </c>
      <c r="D82" s="48" t="s">
        <v>142</v>
      </c>
      <c r="E82" s="48" t="s">
        <v>417</v>
      </c>
      <c r="F82" s="48"/>
      <c r="G82" s="48"/>
      <c r="H82" s="48"/>
    </row>
    <row r="83" spans="1:8" x14ac:dyDescent="0.35">
      <c r="A83" s="48"/>
      <c r="B83" s="48"/>
      <c r="C83" s="48"/>
      <c r="D83" s="48"/>
    </row>
    <row r="84" spans="1:8" x14ac:dyDescent="0.35">
      <c r="A84" s="47">
        <v>41</v>
      </c>
      <c r="B84" s="48" t="s">
        <v>330</v>
      </c>
      <c r="C84" s="48" t="s">
        <v>380</v>
      </c>
      <c r="D84" s="48" t="s">
        <v>138</v>
      </c>
      <c r="E84" s="48" t="s">
        <v>418</v>
      </c>
      <c r="F84" s="48"/>
      <c r="G84" s="48"/>
      <c r="H84" s="48"/>
    </row>
    <row r="85" spans="1:8" x14ac:dyDescent="0.35">
      <c r="A85" s="48"/>
      <c r="B85" s="48"/>
      <c r="C85" s="48"/>
      <c r="D85" s="48"/>
    </row>
    <row r="86" spans="1:8" x14ac:dyDescent="0.35">
      <c r="A86" s="47">
        <v>42</v>
      </c>
      <c r="B86" s="48" t="s">
        <v>331</v>
      </c>
      <c r="C86" s="48" t="s">
        <v>381</v>
      </c>
      <c r="D86" s="48" t="s">
        <v>138</v>
      </c>
      <c r="E86" s="48" t="s">
        <v>419</v>
      </c>
      <c r="F86" s="48"/>
      <c r="G86" s="48"/>
      <c r="H86" s="48"/>
    </row>
    <row r="87" spans="1:8" x14ac:dyDescent="0.35">
      <c r="A87" s="48"/>
      <c r="B87" s="48"/>
      <c r="C87" s="48"/>
      <c r="D87" s="48"/>
    </row>
    <row r="88" spans="1:8" x14ac:dyDescent="0.35">
      <c r="A88" s="47">
        <v>43</v>
      </c>
      <c r="B88" s="48" t="s">
        <v>332</v>
      </c>
      <c r="C88" s="48" t="s">
        <v>382</v>
      </c>
      <c r="D88" s="48" t="s">
        <v>138</v>
      </c>
      <c r="E88" s="48" t="s">
        <v>420</v>
      </c>
      <c r="F88" s="48"/>
      <c r="G88" s="48"/>
      <c r="H88" s="48"/>
    </row>
    <row r="89" spans="1:8" x14ac:dyDescent="0.35">
      <c r="A89" s="48"/>
      <c r="B89" s="48"/>
      <c r="C89" s="48"/>
      <c r="D89" s="48"/>
    </row>
    <row r="90" spans="1:8" x14ac:dyDescent="0.35">
      <c r="A90" s="47">
        <v>44</v>
      </c>
      <c r="B90" s="48" t="s">
        <v>333</v>
      </c>
      <c r="C90" s="48" t="s">
        <v>383</v>
      </c>
      <c r="D90" s="48" t="s">
        <v>138</v>
      </c>
      <c r="E90" s="48" t="s">
        <v>402</v>
      </c>
      <c r="F90" s="48"/>
      <c r="G90" s="48"/>
      <c r="H90" s="48"/>
    </row>
    <row r="91" spans="1:8" x14ac:dyDescent="0.35">
      <c r="A91" s="48"/>
      <c r="B91" s="48"/>
      <c r="C91" s="48"/>
      <c r="D91" s="48"/>
    </row>
    <row r="92" spans="1:8" x14ac:dyDescent="0.35">
      <c r="A92" s="47">
        <v>45</v>
      </c>
      <c r="B92" s="48" t="s">
        <v>334</v>
      </c>
      <c r="C92" s="48" t="s">
        <v>384</v>
      </c>
      <c r="D92" s="48" t="s">
        <v>138</v>
      </c>
      <c r="E92" s="48" t="s">
        <v>420</v>
      </c>
      <c r="F92" s="48"/>
      <c r="G92" s="48"/>
      <c r="H92" s="48"/>
    </row>
    <row r="93" spans="1:8" x14ac:dyDescent="0.35">
      <c r="A93" s="48"/>
      <c r="B93" s="48"/>
      <c r="C93" s="48"/>
      <c r="D93" s="48"/>
    </row>
    <row r="94" spans="1:8" x14ac:dyDescent="0.35">
      <c r="A94" s="47">
        <v>46</v>
      </c>
      <c r="B94" s="48" t="s">
        <v>335</v>
      </c>
      <c r="C94" s="48" t="s">
        <v>385</v>
      </c>
      <c r="D94" s="48" t="s">
        <v>142</v>
      </c>
      <c r="E94" s="48" t="s">
        <v>421</v>
      </c>
      <c r="F94" s="48"/>
      <c r="G94" s="48"/>
      <c r="H94" s="48"/>
    </row>
    <row r="95" spans="1:8" x14ac:dyDescent="0.35">
      <c r="A95" s="48"/>
      <c r="B95" s="48"/>
      <c r="C95" s="48"/>
      <c r="D95" s="48"/>
    </row>
    <row r="96" spans="1:8" x14ac:dyDescent="0.35">
      <c r="A96" s="47">
        <v>47</v>
      </c>
      <c r="B96" s="48" t="s">
        <v>336</v>
      </c>
      <c r="C96" s="48" t="s">
        <v>386</v>
      </c>
      <c r="D96" s="48" t="s">
        <v>138</v>
      </c>
      <c r="E96" s="48" t="s">
        <v>422</v>
      </c>
      <c r="F96" s="48"/>
      <c r="G96" s="48"/>
      <c r="H96" s="48"/>
    </row>
    <row r="97" spans="1:8" x14ac:dyDescent="0.35">
      <c r="A97" s="48"/>
      <c r="B97" s="48"/>
      <c r="C97" s="48"/>
      <c r="D97" s="48"/>
    </row>
    <row r="98" spans="1:8" x14ac:dyDescent="0.35">
      <c r="A98" s="47">
        <v>48</v>
      </c>
      <c r="B98" s="48" t="s">
        <v>337</v>
      </c>
      <c r="C98" s="48" t="s">
        <v>387</v>
      </c>
      <c r="D98" s="48" t="s">
        <v>138</v>
      </c>
      <c r="E98" s="48" t="s">
        <v>390</v>
      </c>
      <c r="F98" s="48" t="s">
        <v>167</v>
      </c>
      <c r="G98" s="48" t="s">
        <v>166</v>
      </c>
      <c r="H98" s="48" t="s">
        <v>177</v>
      </c>
    </row>
    <row r="99" spans="1:8" x14ac:dyDescent="0.35">
      <c r="A99" s="48"/>
      <c r="B99" s="48"/>
      <c r="C99" s="48"/>
      <c r="D99" s="48"/>
      <c r="E99" s="48"/>
      <c r="F99" s="48"/>
    </row>
    <row r="100" spans="1:8" x14ac:dyDescent="0.35">
      <c r="A100" s="47">
        <v>49</v>
      </c>
      <c r="B100" s="48" t="s">
        <v>338</v>
      </c>
      <c r="C100" s="48" t="s">
        <v>388</v>
      </c>
      <c r="D100" s="48" t="s">
        <v>142</v>
      </c>
      <c r="E100" s="48" t="s">
        <v>423</v>
      </c>
      <c r="F100" s="48"/>
      <c r="G100" s="48"/>
      <c r="H100" s="48"/>
    </row>
    <row r="101" spans="1:8" x14ac:dyDescent="0.35">
      <c r="A101" s="48"/>
      <c r="B101" s="48"/>
      <c r="C101" s="48"/>
      <c r="D101" s="48"/>
    </row>
    <row r="102" spans="1:8" x14ac:dyDescent="0.35">
      <c r="A102" s="47">
        <v>50</v>
      </c>
      <c r="B102" s="48" t="s">
        <v>339</v>
      </c>
      <c r="C102" s="48" t="s">
        <v>389</v>
      </c>
      <c r="D102" s="48" t="s">
        <v>142</v>
      </c>
      <c r="E102" s="48" t="s">
        <v>424</v>
      </c>
      <c r="F102" s="48"/>
      <c r="G102" s="48"/>
      <c r="H102" s="48"/>
    </row>
    <row r="103" spans="1:8" x14ac:dyDescent="0.35">
      <c r="A103" s="48"/>
      <c r="B103" s="48"/>
      <c r="C103" s="48"/>
      <c r="D103" s="4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workbookViewId="0">
      <pane xSplit="1" ySplit="1" topLeftCell="M2" activePane="bottomRight" state="frozen"/>
      <selection pane="topRight" activeCell="B1" sqref="B1"/>
      <selection pane="bottomLeft" activeCell="A2" sqref="A2"/>
      <selection pane="bottomRight" activeCell="Q1" sqref="Q1:Q51"/>
    </sheetView>
  </sheetViews>
  <sheetFormatPr defaultRowHeight="14.5" x14ac:dyDescent="0.35"/>
  <cols>
    <col min="1" max="1" width="9.81640625" bestFit="1" customWidth="1"/>
    <col min="2" max="2" width="26" customWidth="1"/>
    <col min="3" max="3" width="8" customWidth="1"/>
    <col min="4" max="4" width="12" customWidth="1"/>
    <col min="5" max="5" width="11.81640625" bestFit="1" customWidth="1"/>
    <col min="6" max="6" width="13.81640625" bestFit="1" customWidth="1"/>
    <col min="7" max="7" width="12.54296875" style="24" bestFit="1" customWidth="1"/>
    <col min="8" max="8" width="13.453125" customWidth="1"/>
    <col min="9" max="9" width="9.1796875" customWidth="1"/>
    <col min="10" max="10" width="12.81640625" bestFit="1" customWidth="1"/>
    <col min="11" max="11" width="13.54296875" bestFit="1" customWidth="1"/>
    <col min="12" max="12" width="13.81640625" customWidth="1"/>
    <col min="13" max="13" width="26.81640625" customWidth="1"/>
    <col min="14" max="14" width="11.7265625" bestFit="1" customWidth="1"/>
    <col min="15" max="15" width="10.453125" customWidth="1"/>
    <col min="16" max="16" width="10.26953125" bestFit="1" customWidth="1"/>
    <col min="17" max="17" width="14.26953125" bestFit="1" customWidth="1"/>
    <col min="18" max="18" width="22.36328125" bestFit="1" customWidth="1"/>
    <col min="19" max="19" width="7.26953125" bestFit="1" customWidth="1"/>
  </cols>
  <sheetData>
    <row r="1" spans="1:19" s="1" customFormat="1" x14ac:dyDescent="0.35">
      <c r="A1" s="5" t="s">
        <v>222</v>
      </c>
      <c r="B1" s="6" t="s">
        <v>221</v>
      </c>
      <c r="C1" s="5" t="s">
        <v>0</v>
      </c>
      <c r="D1" s="5" t="s">
        <v>1</v>
      </c>
      <c r="E1" s="5" t="s">
        <v>2</v>
      </c>
      <c r="F1" s="5" t="s">
        <v>3</v>
      </c>
      <c r="G1" s="23" t="s">
        <v>4</v>
      </c>
      <c r="H1" s="5" t="s">
        <v>5</v>
      </c>
      <c r="I1" s="5" t="s">
        <v>170</v>
      </c>
      <c r="J1" s="5" t="s">
        <v>137</v>
      </c>
      <c r="K1" s="5" t="s">
        <v>228</v>
      </c>
      <c r="L1" s="5" t="s">
        <v>136</v>
      </c>
      <c r="M1" s="5" t="s">
        <v>233</v>
      </c>
      <c r="N1" s="7" t="s">
        <v>246</v>
      </c>
      <c r="O1" s="5" t="s">
        <v>207</v>
      </c>
      <c r="P1" s="5" t="s">
        <v>208</v>
      </c>
      <c r="Q1" s="5" t="s">
        <v>238</v>
      </c>
      <c r="R1" s="5" t="s">
        <v>172</v>
      </c>
      <c r="S1" s="5" t="s">
        <v>239</v>
      </c>
    </row>
    <row r="2" spans="1:19" x14ac:dyDescent="0.35">
      <c r="A2" s="33">
        <v>1</v>
      </c>
      <c r="B2" s="3" t="str">
        <f>UPPER(_xlfn.CONCAT(C2, D2, " ",E2, " ",F2))</f>
        <v>MS.ANNIE  ABBOTT</v>
      </c>
      <c r="C2" s="3" t="s">
        <v>6</v>
      </c>
      <c r="D2" s="3" t="s">
        <v>7</v>
      </c>
      <c r="E2" s="3"/>
      <c r="F2" s="3" t="s">
        <v>8</v>
      </c>
      <c r="G2" s="34">
        <v>35699</v>
      </c>
      <c r="H2" s="3" t="s">
        <v>9</v>
      </c>
      <c r="I2" s="3" t="s">
        <v>138</v>
      </c>
      <c r="J2" s="4" t="s">
        <v>141</v>
      </c>
      <c r="K2" s="4" t="str">
        <f>_xlfn.XLOOKUP($J2,LOCATION!$A$2:$M$2,LOCATION!$A$3:$M$3,"ok",0)</f>
        <v>USA</v>
      </c>
      <c r="L2" s="4" t="str">
        <f>INDEX(LOCATION!$A$1:$M$1,1,MATCH($J2,LOCATION!$A$2:$M$2,0))</f>
        <v>English</v>
      </c>
      <c r="M2" s="4" t="str">
        <f>LOWER(_xlfn.CONCAT($F2,".",$D2,IF(L2="English","@xyz.org","@xyz.com")))</f>
        <v>abbott.annie@xyz.org</v>
      </c>
      <c r="N2" s="35">
        <v>94</v>
      </c>
      <c r="O2" s="3" t="s">
        <v>209</v>
      </c>
      <c r="P2" s="3" t="s">
        <v>210</v>
      </c>
      <c r="Q2" s="3" t="str">
        <f>INDEX(SPORT!$A$2:$A$33,MATCH(R2,SPORT!$B$2:$B$33,0))</f>
        <v>INDOOR</v>
      </c>
      <c r="R2" s="3" t="s">
        <v>174</v>
      </c>
      <c r="S2" s="37">
        <v>80727</v>
      </c>
    </row>
    <row r="3" spans="1:19" x14ac:dyDescent="0.35">
      <c r="A3" s="33">
        <v>2</v>
      </c>
      <c r="B3" s="3" t="str">
        <f t="shared" ref="B3:B13" si="0">UPPER(_xlfn.CONCAT(C3, D3, " ",E3, " ",F3))</f>
        <v>MS.AURELIE  LIESUCHKE</v>
      </c>
      <c r="C3" s="2" t="s">
        <v>6</v>
      </c>
      <c r="D3" s="2" t="s">
        <v>10</v>
      </c>
      <c r="E3" s="2"/>
      <c r="F3" s="2" t="s">
        <v>11</v>
      </c>
      <c r="G3" s="34">
        <v>33641</v>
      </c>
      <c r="H3" s="2" t="s">
        <v>12</v>
      </c>
      <c r="I3" s="2" t="s">
        <v>138</v>
      </c>
      <c r="J3" s="4" t="s">
        <v>141</v>
      </c>
      <c r="K3" s="4" t="str">
        <f>_xlfn.XLOOKUP($J3,LOCATION!$A$2:$M$2,LOCATION!$A$3:$M$3,"ok",0)</f>
        <v>USA</v>
      </c>
      <c r="L3" s="4" t="str">
        <f>INDEX(LOCATION!$A$1:$M$1,1,MATCH($J3,LOCATION!$A$2:$M$2,0))</f>
        <v>English</v>
      </c>
      <c r="M3" s="4" t="str">
        <f t="shared" ref="M3:M51" si="1">LOWER(_xlfn.CONCAT($F3,".",$D3,IF(L3="English","@xyz.org","@xyz.com")))</f>
        <v>liesuchke.aurelie@xyz.org</v>
      </c>
      <c r="N3" s="35">
        <v>84.2</v>
      </c>
      <c r="O3" s="2" t="s">
        <v>211</v>
      </c>
      <c r="P3" s="2" t="s">
        <v>212</v>
      </c>
      <c r="Q3" s="3" t="str">
        <f>INDEX(SPORT!$A$2:$A$33,MATCH(R3,SPORT!$B$2:$B$33,0))</f>
        <v>INDOOR</v>
      </c>
      <c r="R3" s="2" t="s">
        <v>175</v>
      </c>
      <c r="S3" s="37">
        <v>87471</v>
      </c>
    </row>
    <row r="4" spans="1:19" x14ac:dyDescent="0.35">
      <c r="A4" s="33">
        <v>3</v>
      </c>
      <c r="B4" s="3" t="str">
        <f t="shared" si="0"/>
        <v>SR.TOMAS FERREIRA FILHO</v>
      </c>
      <c r="C4" s="2" t="s">
        <v>13</v>
      </c>
      <c r="D4" s="2" t="s">
        <v>14</v>
      </c>
      <c r="E4" s="2" t="s">
        <v>15</v>
      </c>
      <c r="F4" s="2" t="s">
        <v>16</v>
      </c>
      <c r="G4" s="34">
        <v>25394</v>
      </c>
      <c r="H4" s="2" t="s">
        <v>17</v>
      </c>
      <c r="I4" s="2" t="s">
        <v>142</v>
      </c>
      <c r="J4" s="4" t="s">
        <v>145</v>
      </c>
      <c r="K4" s="4" t="str">
        <f>_xlfn.XLOOKUP($J4,LOCATION!$A$2:$M$2,LOCATION!$A$3:$M$3,"ok",0)</f>
        <v>BRAZIL</v>
      </c>
      <c r="L4" s="4" t="str">
        <f>INDEX(LOCATION!$A$1:$M$1,1,MATCH($J4,LOCATION!$A$2:$M$2,0))</f>
        <v>Portuguese</v>
      </c>
      <c r="M4" s="4" t="str">
        <f t="shared" si="1"/>
        <v>filho.tomas@xyz.com</v>
      </c>
      <c r="N4" s="35">
        <v>52.9</v>
      </c>
      <c r="O4" s="2" t="s">
        <v>213</v>
      </c>
      <c r="P4" s="2" t="s">
        <v>210</v>
      </c>
      <c r="Q4" s="3" t="str">
        <f>INDEX(SPORT!$A$2:$A$33,MATCH(R4,SPORT!$B$2:$B$33,0))</f>
        <v>OUTDOOR</v>
      </c>
      <c r="R4" s="2" t="s">
        <v>177</v>
      </c>
      <c r="S4" s="37">
        <v>64724</v>
      </c>
    </row>
    <row r="5" spans="1:19" x14ac:dyDescent="0.35">
      <c r="A5" s="33">
        <v>4</v>
      </c>
      <c r="B5" s="3" t="str">
        <f t="shared" si="0"/>
        <v>MS.DARBY  CRUICKSHANK</v>
      </c>
      <c r="C5" s="2" t="s">
        <v>6</v>
      </c>
      <c r="D5" s="2" t="s">
        <v>18</v>
      </c>
      <c r="E5" s="2"/>
      <c r="F5" s="2" t="s">
        <v>19</v>
      </c>
      <c r="G5" s="34">
        <v>27532</v>
      </c>
      <c r="H5" s="2" t="s">
        <v>20</v>
      </c>
      <c r="I5" s="2" t="s">
        <v>138</v>
      </c>
      <c r="J5" s="4" t="s">
        <v>141</v>
      </c>
      <c r="K5" s="4" t="str">
        <f>_xlfn.XLOOKUP($J5,LOCATION!$A$2:$M$2,LOCATION!$A$3:$M$3,"ok",0)</f>
        <v>USA</v>
      </c>
      <c r="L5" s="4" t="str">
        <f>INDEX(LOCATION!$A$1:$M$1,1,MATCH($J5,LOCATION!$A$2:$M$2,0))</f>
        <v>English</v>
      </c>
      <c r="M5" s="4" t="str">
        <f t="shared" si="1"/>
        <v>cruickshank.darby@xyz.org</v>
      </c>
      <c r="N5" s="35">
        <v>48.9</v>
      </c>
      <c r="O5" s="2" t="s">
        <v>209</v>
      </c>
      <c r="P5" s="2" t="s">
        <v>212</v>
      </c>
      <c r="Q5" s="3" t="str">
        <f>INDEX(SPORT!$A$2:$A$33,MATCH(R5,SPORT!$B$2:$B$33,0))</f>
        <v>OUTDOOR</v>
      </c>
      <c r="R5" s="2" t="s">
        <v>178</v>
      </c>
      <c r="S5" s="37">
        <v>110823</v>
      </c>
    </row>
    <row r="6" spans="1:19" x14ac:dyDescent="0.35">
      <c r="A6" s="33">
        <v>5</v>
      </c>
      <c r="B6" s="3" t="str">
        <f t="shared" si="0"/>
        <v>DR.JAYDON  BORER</v>
      </c>
      <c r="C6" s="2" t="s">
        <v>21</v>
      </c>
      <c r="D6" s="2" t="s">
        <v>22</v>
      </c>
      <c r="E6" s="2"/>
      <c r="F6" s="2" t="s">
        <v>23</v>
      </c>
      <c r="G6" s="34">
        <v>25706</v>
      </c>
      <c r="H6" s="2" t="s">
        <v>20</v>
      </c>
      <c r="I6" s="2" t="s">
        <v>142</v>
      </c>
      <c r="J6" s="4" t="s">
        <v>141</v>
      </c>
      <c r="K6" s="4" t="str">
        <f>_xlfn.XLOOKUP($J6,LOCATION!$A$2:$M$2,LOCATION!$A$3:$M$3,"ok",0)</f>
        <v>USA</v>
      </c>
      <c r="L6" s="4" t="str">
        <f>INDEX(LOCATION!$A$1:$M$1,1,MATCH($J6,LOCATION!$A$2:$M$2,0))</f>
        <v>English</v>
      </c>
      <c r="M6" s="4" t="str">
        <f t="shared" si="1"/>
        <v>borer.jaydon@xyz.org</v>
      </c>
      <c r="N6" s="35">
        <v>84.8</v>
      </c>
      <c r="O6" s="2" t="s">
        <v>214</v>
      </c>
      <c r="P6" s="2" t="s">
        <v>215</v>
      </c>
      <c r="Q6" s="3" t="str">
        <f>INDEX(SPORT!$A$2:$A$33,MATCH(R6,SPORT!$B$2:$B$33,0))</f>
        <v>INDOOR</v>
      </c>
      <c r="R6" s="2" t="s">
        <v>179</v>
      </c>
      <c r="S6" s="37">
        <v>56916</v>
      </c>
    </row>
    <row r="7" spans="1:19" x14ac:dyDescent="0.35">
      <c r="A7" s="33">
        <v>6</v>
      </c>
      <c r="B7" s="3" t="str">
        <f t="shared" si="0"/>
        <v>MR.MORIAH   LYNCH</v>
      </c>
      <c r="C7" s="2" t="s">
        <v>24</v>
      </c>
      <c r="D7" s="2" t="s">
        <v>25</v>
      </c>
      <c r="E7" s="2"/>
      <c r="F7" s="2" t="s">
        <v>26</v>
      </c>
      <c r="G7" s="34">
        <v>33944</v>
      </c>
      <c r="H7" s="2" t="s">
        <v>27</v>
      </c>
      <c r="I7" s="2" t="s">
        <v>142</v>
      </c>
      <c r="J7" s="4" t="s">
        <v>141</v>
      </c>
      <c r="K7" s="4" t="str">
        <f>_xlfn.XLOOKUP($J7,LOCATION!$A$2:$M$2,LOCATION!$A$3:$M$3,"ok",0)</f>
        <v>USA</v>
      </c>
      <c r="L7" s="4" t="str">
        <f>INDEX(LOCATION!$A$1:$M$1,1,MATCH($J7,LOCATION!$A$2:$M$2,0))</f>
        <v>English</v>
      </c>
      <c r="M7" s="4" t="str">
        <f t="shared" si="1"/>
        <v>lynch.moriah @xyz.org</v>
      </c>
      <c r="N7" s="35">
        <v>83.2</v>
      </c>
      <c r="O7" s="2" t="s">
        <v>214</v>
      </c>
      <c r="P7" s="2" t="s">
        <v>212</v>
      </c>
      <c r="Q7" s="3" t="str">
        <f>INDEX(SPORT!$A$2:$A$33,MATCH(R7,SPORT!$B$2:$B$33,0))</f>
        <v>INDOOR</v>
      </c>
      <c r="R7" s="2" t="s">
        <v>180</v>
      </c>
      <c r="S7" s="37">
        <v>51133</v>
      </c>
    </row>
    <row r="8" spans="1:19" x14ac:dyDescent="0.35">
      <c r="A8" s="33">
        <v>7</v>
      </c>
      <c r="B8" s="3" t="str">
        <f t="shared" si="0"/>
        <v>MS.AMIYA  EICHMANN</v>
      </c>
      <c r="C8" s="2" t="s">
        <v>6</v>
      </c>
      <c r="D8" s="2" t="s">
        <v>28</v>
      </c>
      <c r="E8" s="2"/>
      <c r="F8" s="2" t="s">
        <v>29</v>
      </c>
      <c r="G8" s="34">
        <v>36370</v>
      </c>
      <c r="H8" s="2" t="s">
        <v>30</v>
      </c>
      <c r="I8" s="2" t="s">
        <v>138</v>
      </c>
      <c r="J8" s="4" t="s">
        <v>141</v>
      </c>
      <c r="K8" s="4" t="str">
        <f>_xlfn.XLOOKUP($J8,LOCATION!$A$2:$M$2,LOCATION!$A$3:$M$3,"ok",0)</f>
        <v>USA</v>
      </c>
      <c r="L8" s="4" t="str">
        <f>INDEX(LOCATION!$A$1:$M$1,1,MATCH($J8,LOCATION!$A$2:$M$2,0))</f>
        <v>English</v>
      </c>
      <c r="M8" s="4" t="str">
        <f t="shared" si="1"/>
        <v>eichmann.amiya@xyz.org</v>
      </c>
      <c r="N8" s="35">
        <v>61.1</v>
      </c>
      <c r="O8" s="2" t="s">
        <v>214</v>
      </c>
      <c r="P8" s="2" t="s">
        <v>215</v>
      </c>
      <c r="Q8" s="3" t="str">
        <f>INDEX(SPORT!$A$2:$A$33,MATCH(R8,SPORT!$B$2:$B$33,0))</f>
        <v>OUTDOOR</v>
      </c>
      <c r="R8" s="2" t="s">
        <v>181</v>
      </c>
      <c r="S8" s="37">
        <v>65465</v>
      </c>
    </row>
    <row r="9" spans="1:19" x14ac:dyDescent="0.35">
      <c r="A9" s="33">
        <v>8</v>
      </c>
      <c r="B9" s="3" t="str">
        <f t="shared" si="0"/>
        <v>MR.PIERCE  RAU</v>
      </c>
      <c r="C9" s="2" t="s">
        <v>24</v>
      </c>
      <c r="D9" s="2" t="s">
        <v>31</v>
      </c>
      <c r="E9" s="2"/>
      <c r="F9" s="2" t="s">
        <v>32</v>
      </c>
      <c r="G9" s="34">
        <v>23141</v>
      </c>
      <c r="H9" s="2" t="s">
        <v>20</v>
      </c>
      <c r="I9" s="2" t="s">
        <v>142</v>
      </c>
      <c r="J9" s="4" t="s">
        <v>141</v>
      </c>
      <c r="K9" s="4" t="str">
        <f>_xlfn.XLOOKUP($J9,LOCATION!$A$2:$M$2,LOCATION!$A$3:$M$3,"ok",0)</f>
        <v>USA</v>
      </c>
      <c r="L9" s="4" t="str">
        <f>INDEX(LOCATION!$A$1:$M$1,1,MATCH($J9,LOCATION!$A$2:$M$2,0))</f>
        <v>English</v>
      </c>
      <c r="M9" s="4" t="str">
        <f t="shared" si="1"/>
        <v>rau.pierce@xyz.org</v>
      </c>
      <c r="N9" s="35">
        <v>105.7</v>
      </c>
      <c r="O9" s="2" t="s">
        <v>213</v>
      </c>
      <c r="P9" s="2" t="s">
        <v>216</v>
      </c>
      <c r="Q9" s="3" t="str">
        <f>INDEX(SPORT!$A$2:$A$33,MATCH(R9,SPORT!$B$2:$B$33,0))</f>
        <v>INDOOR</v>
      </c>
      <c r="R9" s="2" t="s">
        <v>182</v>
      </c>
      <c r="S9" s="37">
        <v>109885</v>
      </c>
    </row>
    <row r="10" spans="1:19" x14ac:dyDescent="0.35">
      <c r="A10" s="33">
        <v>9</v>
      </c>
      <c r="B10" s="3" t="str">
        <f t="shared" si="0"/>
        <v>MS.AMELIA  STEVENS</v>
      </c>
      <c r="C10" s="2" t="s">
        <v>6</v>
      </c>
      <c r="D10" s="2" t="s">
        <v>33</v>
      </c>
      <c r="E10" s="2"/>
      <c r="F10" s="2" t="s">
        <v>34</v>
      </c>
      <c r="G10" s="34">
        <v>25965</v>
      </c>
      <c r="H10" s="2" t="s">
        <v>12</v>
      </c>
      <c r="I10" s="2" t="s">
        <v>138</v>
      </c>
      <c r="J10" s="4" t="s">
        <v>147</v>
      </c>
      <c r="K10" s="4" t="str">
        <f>_xlfn.XLOOKUP($J10,LOCATION!$A$2:$M$2,LOCATION!$A$3:$M$3,"ok",0)</f>
        <v>UK</v>
      </c>
      <c r="L10" s="4" t="str">
        <f>INDEX(LOCATION!$A$1:$M$1,1,MATCH($J10,LOCATION!$A$2:$M$2,0))</f>
        <v>English</v>
      </c>
      <c r="M10" s="4" t="str">
        <f t="shared" si="1"/>
        <v>stevens.amelia@xyz.org</v>
      </c>
      <c r="N10" s="35">
        <v>65.3</v>
      </c>
      <c r="O10" s="2" t="s">
        <v>214</v>
      </c>
      <c r="P10" s="2" t="s">
        <v>216</v>
      </c>
      <c r="Q10" s="3" t="str">
        <f>INDEX(SPORT!$A$2:$A$33,MATCH(R10,SPORT!$B$2:$B$33,0))</f>
        <v>INDOOR</v>
      </c>
      <c r="R10" s="2" t="s">
        <v>183</v>
      </c>
      <c r="S10" s="37">
        <v>60061</v>
      </c>
    </row>
    <row r="11" spans="1:19" x14ac:dyDescent="0.35">
      <c r="A11" s="33">
        <v>10</v>
      </c>
      <c r="B11" s="3" t="str">
        <f t="shared" si="0"/>
        <v>MR.TOBY  SIMPSON</v>
      </c>
      <c r="C11" s="2" t="s">
        <v>24</v>
      </c>
      <c r="D11" s="2" t="s">
        <v>35</v>
      </c>
      <c r="E11" s="2"/>
      <c r="F11" s="2" t="s">
        <v>36</v>
      </c>
      <c r="G11" s="34">
        <v>23732</v>
      </c>
      <c r="H11" s="2" t="s">
        <v>27</v>
      </c>
      <c r="I11" s="2" t="s">
        <v>142</v>
      </c>
      <c r="J11" s="4" t="s">
        <v>147</v>
      </c>
      <c r="K11" s="4" t="str">
        <f>_xlfn.XLOOKUP($J11,LOCATION!$A$2:$M$2,LOCATION!$A$3:$M$3,"ok",0)</f>
        <v>UK</v>
      </c>
      <c r="L11" s="4" t="str">
        <f>INDEX(LOCATION!$A$1:$M$1,1,MATCH($J11,LOCATION!$A$2:$M$2,0))</f>
        <v>English</v>
      </c>
      <c r="M11" s="4" t="str">
        <f t="shared" si="1"/>
        <v>simpson.toby@xyz.org</v>
      </c>
      <c r="N11" s="35">
        <v>62.9</v>
      </c>
      <c r="O11" s="2" t="s">
        <v>213</v>
      </c>
      <c r="P11" s="2" t="s">
        <v>217</v>
      </c>
      <c r="Q11" s="3" t="str">
        <f>INDEX(SPORT!$A$2:$A$33,MATCH(R11,SPORT!$B$2:$B$33,0))</f>
        <v>OUTDOOR</v>
      </c>
      <c r="R11" s="2" t="s">
        <v>181</v>
      </c>
      <c r="S11" s="37">
        <v>32758</v>
      </c>
    </row>
    <row r="12" spans="1:19" x14ac:dyDescent="0.35">
      <c r="A12" s="33">
        <v>11</v>
      </c>
      <c r="B12" s="3" t="str">
        <f t="shared" si="0"/>
        <v>SIRETHAN  MURPHY</v>
      </c>
      <c r="C12" s="2" t="s">
        <v>37</v>
      </c>
      <c r="D12" s="2" t="s">
        <v>38</v>
      </c>
      <c r="E12" s="2"/>
      <c r="F12" s="2" t="s">
        <v>39</v>
      </c>
      <c r="G12" s="34">
        <v>31733</v>
      </c>
      <c r="H12" s="2" t="s">
        <v>40</v>
      </c>
      <c r="I12" s="2" t="s">
        <v>142</v>
      </c>
      <c r="J12" s="4" t="s">
        <v>147</v>
      </c>
      <c r="K12" s="4" t="str">
        <f>_xlfn.XLOOKUP($J12,LOCATION!$A$2:$M$2,LOCATION!$A$3:$M$3,"ok",0)</f>
        <v>UK</v>
      </c>
      <c r="L12" s="4" t="str">
        <f>INDEX(LOCATION!$A$1:$M$1,1,MATCH($J12,LOCATION!$A$2:$M$2,0))</f>
        <v>English</v>
      </c>
      <c r="M12" s="4" t="str">
        <f t="shared" si="1"/>
        <v>murphy.ethan@xyz.org</v>
      </c>
      <c r="N12" s="35">
        <v>104.3</v>
      </c>
      <c r="O12" s="2" t="s">
        <v>211</v>
      </c>
      <c r="P12" s="2" t="s">
        <v>217</v>
      </c>
      <c r="Q12" s="3" t="str">
        <f>INDEX(SPORT!$A$2:$A$33,MATCH(R12,SPORT!$B$2:$B$33,0))</f>
        <v>OUTDOOR</v>
      </c>
      <c r="R12" s="2" t="s">
        <v>184</v>
      </c>
      <c r="S12" s="37">
        <v>99613</v>
      </c>
    </row>
    <row r="13" spans="1:19" x14ac:dyDescent="0.35">
      <c r="A13" s="33">
        <v>12</v>
      </c>
      <c r="B13" s="3" t="str">
        <f t="shared" si="0"/>
        <v>MRS.ASHLEY  WOOD</v>
      </c>
      <c r="C13" s="2" t="s">
        <v>41</v>
      </c>
      <c r="D13" s="2" t="s">
        <v>42</v>
      </c>
      <c r="E13" s="2"/>
      <c r="F13" s="2" t="s">
        <v>43</v>
      </c>
      <c r="G13" s="34">
        <v>28412</v>
      </c>
      <c r="H13" s="2" t="s">
        <v>9</v>
      </c>
      <c r="I13" s="2" t="s">
        <v>138</v>
      </c>
      <c r="J13" s="4" t="s">
        <v>147</v>
      </c>
      <c r="K13" s="4" t="str">
        <f>_xlfn.XLOOKUP($J13,LOCATION!$A$2:$M$2,LOCATION!$A$3:$M$3,"ok",0)</f>
        <v>UK</v>
      </c>
      <c r="L13" s="4" t="str">
        <f>INDEX(LOCATION!$A$1:$M$1,1,MATCH($J13,LOCATION!$A$2:$M$2,0))</f>
        <v>English</v>
      </c>
      <c r="M13" s="4" t="str">
        <f t="shared" si="1"/>
        <v>wood.ashley@xyz.org</v>
      </c>
      <c r="N13" s="35">
        <v>100.7</v>
      </c>
      <c r="O13" s="2" t="s">
        <v>211</v>
      </c>
      <c r="P13" s="2" t="s">
        <v>217</v>
      </c>
      <c r="Q13" s="3" t="str">
        <f>INDEX(SPORT!$A$2:$A$33,MATCH(R13,SPORT!$B$2:$B$33,0))</f>
        <v>OUTDOOR</v>
      </c>
      <c r="R13" s="2" t="s">
        <v>185</v>
      </c>
      <c r="S13" s="37">
        <v>56595</v>
      </c>
    </row>
    <row r="14" spans="1:19" x14ac:dyDescent="0.35">
      <c r="A14" s="33">
        <v>13</v>
      </c>
      <c r="B14" s="3" t="str">
        <f>UPPER(_xlfn.CONCAT(C14, D14, " ",E14, " ",F14))</f>
        <v>MS.MEGAN  SCOTT</v>
      </c>
      <c r="C14" s="2" t="s">
        <v>6</v>
      </c>
      <c r="D14" s="2" t="s">
        <v>44</v>
      </c>
      <c r="E14" s="2"/>
      <c r="F14" s="2" t="s">
        <v>45</v>
      </c>
      <c r="G14" s="34">
        <v>28168</v>
      </c>
      <c r="H14" s="2" t="s">
        <v>12</v>
      </c>
      <c r="I14" s="2" t="s">
        <v>138</v>
      </c>
      <c r="J14" s="4" t="s">
        <v>147</v>
      </c>
      <c r="K14" s="4" t="str">
        <f>_xlfn.XLOOKUP($J14,LOCATION!$A$2:$M$2,LOCATION!$A$3:$M$3,"ok",0)</f>
        <v>UK</v>
      </c>
      <c r="L14" s="4" t="str">
        <f>INDEX(LOCATION!$A$1:$M$1,1,MATCH($J14,LOCATION!$A$2:$M$2,0))</f>
        <v>English</v>
      </c>
      <c r="M14" s="4" t="str">
        <f t="shared" si="1"/>
        <v>scott.megan@xyz.org</v>
      </c>
      <c r="N14" s="35">
        <v>70.900000000000006</v>
      </c>
      <c r="O14" s="2" t="s">
        <v>209</v>
      </c>
      <c r="P14" s="2" t="s">
        <v>210</v>
      </c>
      <c r="Q14" s="3" t="str">
        <f>INDEX(SPORT!$A$2:$A$33,MATCH(R14,SPORT!$B$2:$B$33,0))</f>
        <v>OUTDOOR</v>
      </c>
      <c r="R14" s="2" t="s">
        <v>186</v>
      </c>
      <c r="S14" s="37">
        <v>117408</v>
      </c>
    </row>
    <row r="15" spans="1:19" x14ac:dyDescent="0.35">
      <c r="A15" s="33">
        <v>14</v>
      </c>
      <c r="B15" s="3" t="str">
        <f t="shared" ref="B15:B51" si="2">UPPER(_xlfn.CONCAT(C15, D15, " ",E15, " ",F15))</f>
        <v>HR.HELMUT  WEINHAE</v>
      </c>
      <c r="C15" s="2" t="s">
        <v>46</v>
      </c>
      <c r="D15" s="2" t="s">
        <v>47</v>
      </c>
      <c r="E15" s="2"/>
      <c r="F15" s="2" t="s">
        <v>48</v>
      </c>
      <c r="G15" s="34">
        <v>21788</v>
      </c>
      <c r="H15" s="2" t="s">
        <v>49</v>
      </c>
      <c r="I15" s="2" t="s">
        <v>142</v>
      </c>
      <c r="J15" s="4" t="s">
        <v>150</v>
      </c>
      <c r="K15" s="4" t="str">
        <f>_xlfn.XLOOKUP($J15,LOCATION!$A$2:$M$2,LOCATION!$A$3:$M$3,"ok",0)</f>
        <v>GERMANY</v>
      </c>
      <c r="L15" s="4" t="str">
        <f>INDEX(LOCATION!$A$1:$M$1,1,MATCH($J15,LOCATION!$A$2:$M$2,0))</f>
        <v>German</v>
      </c>
      <c r="M15" s="4" t="str">
        <f t="shared" si="1"/>
        <v>weinhae.helmut@xyz.com</v>
      </c>
      <c r="N15" s="35">
        <v>68.3</v>
      </c>
      <c r="O15" s="2" t="s">
        <v>218</v>
      </c>
      <c r="P15" s="2" t="s">
        <v>216</v>
      </c>
      <c r="Q15" s="3" t="str">
        <f>INDEX(SPORT!$A$2:$A$33,MATCH(R15,SPORT!$B$2:$B$33,0))</f>
        <v>OUTDOOR</v>
      </c>
      <c r="R15" s="2" t="s">
        <v>187</v>
      </c>
      <c r="S15" s="37">
        <v>64862</v>
      </c>
    </row>
    <row r="16" spans="1:19" x14ac:dyDescent="0.35">
      <c r="A16" s="33">
        <v>15</v>
      </c>
      <c r="B16" s="3" t="str">
        <f t="shared" si="2"/>
        <v>PROF.MILENA  SCHOTIN</v>
      </c>
      <c r="C16" s="2" t="s">
        <v>50</v>
      </c>
      <c r="D16" s="2" t="s">
        <v>51</v>
      </c>
      <c r="E16" s="2"/>
      <c r="F16" s="2" t="s">
        <v>52</v>
      </c>
      <c r="G16" s="34">
        <v>23804</v>
      </c>
      <c r="H16" s="2" t="s">
        <v>53</v>
      </c>
      <c r="I16" s="2" t="s">
        <v>138</v>
      </c>
      <c r="J16" s="4" t="s">
        <v>150</v>
      </c>
      <c r="K16" s="4" t="str">
        <f>_xlfn.XLOOKUP($J16,LOCATION!$A$2:$M$2,LOCATION!$A$3:$M$3,"ok",0)</f>
        <v>GERMANY</v>
      </c>
      <c r="L16" s="4" t="str">
        <f>INDEX(LOCATION!$A$1:$M$1,1,MATCH($J16,LOCATION!$A$2:$M$2,0))</f>
        <v>German</v>
      </c>
      <c r="M16" s="4" t="str">
        <f t="shared" si="1"/>
        <v>schotin.milena@xyz.com</v>
      </c>
      <c r="N16" s="35">
        <v>105.3</v>
      </c>
      <c r="O16" s="2" t="s">
        <v>218</v>
      </c>
      <c r="P16" s="2" t="s">
        <v>217</v>
      </c>
      <c r="Q16" s="3" t="str">
        <f>INDEX(SPORT!$A$2:$A$33,MATCH(R16,SPORT!$B$2:$B$33,0))</f>
        <v>INDOOR</v>
      </c>
      <c r="R16" s="2" t="s">
        <v>188</v>
      </c>
      <c r="S16" s="37">
        <v>10241</v>
      </c>
    </row>
    <row r="17" spans="1:19" x14ac:dyDescent="0.35">
      <c r="A17" s="33">
        <v>16</v>
      </c>
      <c r="B17" s="3" t="str">
        <f t="shared" si="2"/>
        <v>HR.LOTHAR  BIRNBAUM</v>
      </c>
      <c r="C17" s="2" t="s">
        <v>46</v>
      </c>
      <c r="D17" s="2" t="s">
        <v>54</v>
      </c>
      <c r="E17" s="2"/>
      <c r="F17" s="2" t="s">
        <v>55</v>
      </c>
      <c r="G17" s="34">
        <v>25405</v>
      </c>
      <c r="H17" s="2" t="s">
        <v>17</v>
      </c>
      <c r="I17" s="2" t="s">
        <v>142</v>
      </c>
      <c r="J17" s="4" t="s">
        <v>150</v>
      </c>
      <c r="K17" s="4" t="str">
        <f>_xlfn.XLOOKUP($J17,LOCATION!$A$2:$M$2,LOCATION!$A$3:$M$3,"ok",0)</f>
        <v>GERMANY</v>
      </c>
      <c r="L17" s="4" t="str">
        <f>INDEX(LOCATION!$A$1:$M$1,1,MATCH($J17,LOCATION!$A$2:$M$2,0))</f>
        <v>German</v>
      </c>
      <c r="M17" s="4" t="str">
        <f t="shared" si="1"/>
        <v>birnbaum.lothar@xyz.com</v>
      </c>
      <c r="N17" s="35">
        <v>48.6</v>
      </c>
      <c r="O17" s="2" t="s">
        <v>214</v>
      </c>
      <c r="P17" s="2" t="s">
        <v>217</v>
      </c>
      <c r="Q17" s="3" t="str">
        <f>INDEX(SPORT!$A$2:$A$33,MATCH(R17,SPORT!$B$2:$B$33,0))</f>
        <v>OUTDOOR</v>
      </c>
      <c r="R17" s="2" t="s">
        <v>178</v>
      </c>
      <c r="S17" s="37">
        <v>88762</v>
      </c>
    </row>
    <row r="18" spans="1:19" x14ac:dyDescent="0.35">
      <c r="A18" s="33">
        <v>17</v>
      </c>
      <c r="B18" s="3" t="str">
        <f t="shared" si="2"/>
        <v>HR.PIETRO  STOLZE</v>
      </c>
      <c r="C18" s="2" t="s">
        <v>46</v>
      </c>
      <c r="D18" s="2" t="s">
        <v>56</v>
      </c>
      <c r="E18" s="2"/>
      <c r="F18" s="2" t="s">
        <v>57</v>
      </c>
      <c r="G18" s="34">
        <v>26582</v>
      </c>
      <c r="H18" s="2" t="s">
        <v>9</v>
      </c>
      <c r="I18" s="2" t="s">
        <v>142</v>
      </c>
      <c r="J18" s="4" t="s">
        <v>150</v>
      </c>
      <c r="K18" s="4" t="str">
        <f>_xlfn.XLOOKUP($J18,LOCATION!$A$2:$M$2,LOCATION!$A$3:$M$3,"ok",0)</f>
        <v>GERMANY</v>
      </c>
      <c r="L18" s="4" t="str">
        <f>INDEX(LOCATION!$A$1:$M$1,1,MATCH($J18,LOCATION!$A$2:$M$2,0))</f>
        <v>German</v>
      </c>
      <c r="M18" s="4" t="str">
        <f t="shared" si="1"/>
        <v>stolze.pietro@xyz.com</v>
      </c>
      <c r="N18" s="35">
        <v>105.9</v>
      </c>
      <c r="O18" s="2" t="s">
        <v>214</v>
      </c>
      <c r="P18" s="2" t="s">
        <v>210</v>
      </c>
      <c r="Q18" s="3" t="str">
        <f>INDEX(SPORT!$A$2:$A$33,MATCH(R18,SPORT!$B$2:$B$33,0))</f>
        <v>INDOOR</v>
      </c>
      <c r="R18" s="2" t="s">
        <v>189</v>
      </c>
      <c r="S18" s="37">
        <v>80757</v>
      </c>
    </row>
    <row r="19" spans="1:19" x14ac:dyDescent="0.35">
      <c r="A19" s="33">
        <v>18</v>
      </c>
      <c r="B19" s="3" t="str">
        <f t="shared" si="2"/>
        <v>HR.RICHARD   TLUSTEK</v>
      </c>
      <c r="C19" s="2" t="s">
        <v>46</v>
      </c>
      <c r="D19" s="2" t="s">
        <v>58</v>
      </c>
      <c r="E19" s="2"/>
      <c r="F19" s="2" t="s">
        <v>59</v>
      </c>
      <c r="G19" s="34">
        <v>21793</v>
      </c>
      <c r="H19" s="2" t="s">
        <v>49</v>
      </c>
      <c r="I19" s="2" t="s">
        <v>142</v>
      </c>
      <c r="J19" s="4" t="s">
        <v>150</v>
      </c>
      <c r="K19" s="4" t="str">
        <f>_xlfn.XLOOKUP($J19,LOCATION!$A$2:$M$2,LOCATION!$A$3:$M$3,"ok",0)</f>
        <v>GERMANY</v>
      </c>
      <c r="L19" s="4" t="str">
        <f>INDEX(LOCATION!$A$1:$M$1,1,MATCH($J19,LOCATION!$A$2:$M$2,0))</f>
        <v>German</v>
      </c>
      <c r="M19" s="4" t="str">
        <f t="shared" si="1"/>
        <v>tlustek.richard @xyz.com</v>
      </c>
      <c r="N19" s="35">
        <v>71.099999999999994</v>
      </c>
      <c r="O19" s="2" t="s">
        <v>214</v>
      </c>
      <c r="P19" s="2" t="s">
        <v>210</v>
      </c>
      <c r="Q19" s="3" t="str">
        <f>INDEX(SPORT!$A$2:$A$33,MATCH(R19,SPORT!$B$2:$B$33,0))</f>
        <v>OUTDOOR</v>
      </c>
      <c r="R19" s="2" t="s">
        <v>190</v>
      </c>
      <c r="S19" s="37">
        <v>88794</v>
      </c>
    </row>
    <row r="20" spans="1:19" x14ac:dyDescent="0.35">
      <c r="A20" s="33">
        <v>19</v>
      </c>
      <c r="B20" s="3" t="str">
        <f t="shared" si="2"/>
        <v>DR.EARNESTINE  RAYNOR</v>
      </c>
      <c r="C20" s="2" t="s">
        <v>21</v>
      </c>
      <c r="D20" s="2" t="s">
        <v>60</v>
      </c>
      <c r="E20" s="2"/>
      <c r="F20" s="2" t="s">
        <v>61</v>
      </c>
      <c r="G20" s="34">
        <v>28262</v>
      </c>
      <c r="H20" s="2" t="s">
        <v>20</v>
      </c>
      <c r="I20" s="2" t="s">
        <v>138</v>
      </c>
      <c r="J20" s="4" t="s">
        <v>152</v>
      </c>
      <c r="K20" s="4" t="str">
        <f>_xlfn.XLOOKUP($J20,LOCATION!$A$2:$M$2,LOCATION!$A$3:$M$3,"ok",0)</f>
        <v>AUSTRALIA</v>
      </c>
      <c r="L20" s="4" t="str">
        <f>INDEX(LOCATION!$A$1:$M$1,1,MATCH($J20,LOCATION!$A$2:$M$2,0))</f>
        <v>English</v>
      </c>
      <c r="M20" s="4" t="str">
        <f t="shared" si="1"/>
        <v>raynor.earnestine@xyz.org</v>
      </c>
      <c r="N20" s="35">
        <v>70.3</v>
      </c>
      <c r="O20" s="2" t="s">
        <v>214</v>
      </c>
      <c r="P20" s="2" t="s">
        <v>216</v>
      </c>
      <c r="Q20" s="3" t="str">
        <f>INDEX(SPORT!$A$2:$A$33,MATCH(R20,SPORT!$B$2:$B$33,0))</f>
        <v>INDOOR</v>
      </c>
      <c r="R20" s="2" t="s">
        <v>191</v>
      </c>
      <c r="S20" s="37">
        <v>63526</v>
      </c>
    </row>
    <row r="21" spans="1:19" x14ac:dyDescent="0.35">
      <c r="A21" s="33">
        <v>20</v>
      </c>
      <c r="B21" s="3" t="str">
        <f t="shared" si="2"/>
        <v>MR.JASON  GAYLORD</v>
      </c>
      <c r="C21" s="2" t="s">
        <v>24</v>
      </c>
      <c r="D21" s="2" t="s">
        <v>62</v>
      </c>
      <c r="E21" s="2"/>
      <c r="F21" s="2" t="s">
        <v>63</v>
      </c>
      <c r="G21" s="34">
        <v>27767</v>
      </c>
      <c r="H21" s="2" t="s">
        <v>64</v>
      </c>
      <c r="I21" s="2" t="s">
        <v>142</v>
      </c>
      <c r="J21" s="4" t="s">
        <v>152</v>
      </c>
      <c r="K21" s="4" t="str">
        <f>_xlfn.XLOOKUP($J21,LOCATION!$A$2:$M$2,LOCATION!$A$3:$M$3,"ok",0)</f>
        <v>AUSTRALIA</v>
      </c>
      <c r="L21" s="4" t="str">
        <f>INDEX(LOCATION!$A$1:$M$1,1,MATCH($J21,LOCATION!$A$2:$M$2,0))</f>
        <v>English</v>
      </c>
      <c r="M21" s="4" t="str">
        <f t="shared" si="1"/>
        <v>gaylord.jason@xyz.org</v>
      </c>
      <c r="N21" s="35">
        <v>54.7</v>
      </c>
      <c r="O21" s="2" t="s">
        <v>211</v>
      </c>
      <c r="P21" s="2" t="s">
        <v>212</v>
      </c>
      <c r="Q21" s="3" t="str">
        <f>INDEX(SPORT!$A$2:$A$33,MATCH(R21,SPORT!$B$2:$B$33,0))</f>
        <v>INDOOR</v>
      </c>
      <c r="R21" s="2" t="s">
        <v>192</v>
      </c>
      <c r="S21" s="37">
        <v>46352</v>
      </c>
    </row>
    <row r="22" spans="1:19" x14ac:dyDescent="0.35">
      <c r="A22" s="33">
        <v>21</v>
      </c>
      <c r="B22" s="3" t="str">
        <f t="shared" si="2"/>
        <v>MR.KENDRICK  SAUER</v>
      </c>
      <c r="C22" s="2" t="s">
        <v>24</v>
      </c>
      <c r="D22" s="2" t="s">
        <v>65</v>
      </c>
      <c r="E22" s="2"/>
      <c r="F22" s="2" t="s">
        <v>66</v>
      </c>
      <c r="G22" s="34">
        <v>35268</v>
      </c>
      <c r="H22" s="2" t="s">
        <v>17</v>
      </c>
      <c r="I22" s="2" t="s">
        <v>142</v>
      </c>
      <c r="J22" s="4" t="s">
        <v>152</v>
      </c>
      <c r="K22" s="4" t="str">
        <f>_xlfn.XLOOKUP($J22,LOCATION!$A$2:$M$2,LOCATION!$A$3:$M$3,"ok",0)</f>
        <v>AUSTRALIA</v>
      </c>
      <c r="L22" s="4" t="str">
        <f>INDEX(LOCATION!$A$1:$M$1,1,MATCH($J22,LOCATION!$A$2:$M$2,0))</f>
        <v>English</v>
      </c>
      <c r="M22" s="4" t="str">
        <f t="shared" si="1"/>
        <v>sauer.kendrick@xyz.org</v>
      </c>
      <c r="N22" s="35">
        <v>100.9</v>
      </c>
      <c r="O22" s="2" t="s">
        <v>214</v>
      </c>
      <c r="P22" s="2" t="s">
        <v>215</v>
      </c>
      <c r="Q22" s="3" t="str">
        <f>INDEX(SPORT!$A$2:$A$33,MATCH(R22,SPORT!$B$2:$B$33,0))</f>
        <v>OUTDOOR</v>
      </c>
      <c r="R22" s="2" t="s">
        <v>193</v>
      </c>
      <c r="S22" s="37">
        <v>106808</v>
      </c>
    </row>
    <row r="23" spans="1:19" x14ac:dyDescent="0.35">
      <c r="A23" s="33">
        <v>22</v>
      </c>
      <c r="B23" s="3" t="str">
        <f t="shared" si="2"/>
        <v>DR.ANNABELL  OLSON</v>
      </c>
      <c r="C23" s="2" t="s">
        <v>21</v>
      </c>
      <c r="D23" s="2" t="s">
        <v>67</v>
      </c>
      <c r="E23" s="2"/>
      <c r="F23" s="2" t="s">
        <v>68</v>
      </c>
      <c r="G23" s="34">
        <v>23483</v>
      </c>
      <c r="H23" s="2" t="s">
        <v>69</v>
      </c>
      <c r="I23" s="2" t="s">
        <v>138</v>
      </c>
      <c r="J23" s="4" t="s">
        <v>152</v>
      </c>
      <c r="K23" s="4" t="str">
        <f>_xlfn.XLOOKUP($J23,LOCATION!$A$2:$M$2,LOCATION!$A$3:$M$3,"ok",0)</f>
        <v>AUSTRALIA</v>
      </c>
      <c r="L23" s="4" t="str">
        <f>INDEX(LOCATION!$A$1:$M$1,1,MATCH($J23,LOCATION!$A$2:$M$2,0))</f>
        <v>English</v>
      </c>
      <c r="M23" s="4" t="str">
        <f t="shared" si="1"/>
        <v>olson.annabell@xyz.org</v>
      </c>
      <c r="N23" s="35">
        <v>84.3</v>
      </c>
      <c r="O23" s="2" t="s">
        <v>209</v>
      </c>
      <c r="P23" s="2" t="s">
        <v>216</v>
      </c>
      <c r="Q23" s="3" t="str">
        <f>INDEX(SPORT!$A$2:$A$33,MATCH(R23,SPORT!$B$2:$B$33,0))</f>
        <v>OUTDOOR</v>
      </c>
      <c r="R23" s="2" t="s">
        <v>194</v>
      </c>
      <c r="S23" s="37">
        <v>96468</v>
      </c>
    </row>
    <row r="24" spans="1:19" x14ac:dyDescent="0.35">
      <c r="A24" s="33">
        <v>23</v>
      </c>
      <c r="B24" s="3" t="str">
        <f t="shared" si="2"/>
        <v>DR.JENA  UPTON</v>
      </c>
      <c r="C24" s="2" t="s">
        <v>21</v>
      </c>
      <c r="D24" s="2" t="s">
        <v>70</v>
      </c>
      <c r="E24" s="2"/>
      <c r="F24" s="2" t="s">
        <v>71</v>
      </c>
      <c r="G24" s="34">
        <v>20437</v>
      </c>
      <c r="H24" s="2" t="s">
        <v>27</v>
      </c>
      <c r="I24" s="2" t="s">
        <v>138</v>
      </c>
      <c r="J24" s="4" t="s">
        <v>152</v>
      </c>
      <c r="K24" s="4" t="str">
        <f>_xlfn.XLOOKUP($J24,LOCATION!$A$2:$M$2,LOCATION!$A$3:$M$3,"ok",0)</f>
        <v>AUSTRALIA</v>
      </c>
      <c r="L24" s="4" t="str">
        <f>INDEX(LOCATION!$A$1:$M$1,1,MATCH($J24,LOCATION!$A$2:$M$2,0))</f>
        <v>English</v>
      </c>
      <c r="M24" s="4" t="str">
        <f t="shared" si="1"/>
        <v>upton.jena@xyz.org</v>
      </c>
      <c r="N24" s="35">
        <v>66.8</v>
      </c>
      <c r="O24" s="2" t="s">
        <v>214</v>
      </c>
      <c r="P24" s="2" t="s">
        <v>217</v>
      </c>
      <c r="Q24" s="3" t="str">
        <f>INDEX(SPORT!$A$2:$A$33,MATCH(R24,SPORT!$B$2:$B$33,0))</f>
        <v>OUTDOOR</v>
      </c>
      <c r="R24" s="2" t="s">
        <v>195</v>
      </c>
      <c r="S24" s="37">
        <v>16526</v>
      </c>
    </row>
    <row r="25" spans="1:19" x14ac:dyDescent="0.35">
      <c r="A25" s="33">
        <v>24</v>
      </c>
      <c r="B25" s="3" t="str">
        <f t="shared" si="2"/>
        <v>DR.SHANNY  BINS</v>
      </c>
      <c r="C25" s="2" t="s">
        <v>21</v>
      </c>
      <c r="D25" s="2" t="s">
        <v>72</v>
      </c>
      <c r="E25" s="2"/>
      <c r="F25" s="2" t="s">
        <v>73</v>
      </c>
      <c r="G25" s="34">
        <v>36400</v>
      </c>
      <c r="H25" s="2" t="s">
        <v>49</v>
      </c>
      <c r="I25" s="2" t="s">
        <v>138</v>
      </c>
      <c r="J25" s="4" t="s">
        <v>152</v>
      </c>
      <c r="K25" s="4" t="str">
        <f>_xlfn.XLOOKUP($J25,LOCATION!$A$2:$M$2,LOCATION!$A$3:$M$3,"ok",0)</f>
        <v>AUSTRALIA</v>
      </c>
      <c r="L25" s="4" t="str">
        <f>INDEX(LOCATION!$A$1:$M$1,1,MATCH($J25,LOCATION!$A$2:$M$2,0))</f>
        <v>English</v>
      </c>
      <c r="M25" s="4" t="str">
        <f t="shared" si="1"/>
        <v>bins.shanny@xyz.org</v>
      </c>
      <c r="N25" s="35">
        <v>59.4</v>
      </c>
      <c r="O25" s="2" t="s">
        <v>213</v>
      </c>
      <c r="P25" s="2" t="s">
        <v>215</v>
      </c>
      <c r="Q25" s="3" t="str">
        <f>INDEX(SPORT!$A$2:$A$33,MATCH(R25,SPORT!$B$2:$B$33,0))</f>
        <v>OUTDOOR</v>
      </c>
      <c r="R25" s="2" t="s">
        <v>196</v>
      </c>
      <c r="S25" s="37">
        <v>21891</v>
      </c>
    </row>
    <row r="26" spans="1:19" x14ac:dyDescent="0.35">
      <c r="A26" s="33">
        <v>25</v>
      </c>
      <c r="B26" s="3" t="str">
        <f t="shared" si="2"/>
        <v>DR.TIA  ABSHIRE</v>
      </c>
      <c r="C26" s="2" t="s">
        <v>21</v>
      </c>
      <c r="D26" s="2" t="s">
        <v>74</v>
      </c>
      <c r="E26" s="2"/>
      <c r="F26" s="2" t="s">
        <v>75</v>
      </c>
      <c r="G26" s="34">
        <v>24309</v>
      </c>
      <c r="H26" s="2" t="s">
        <v>17</v>
      </c>
      <c r="I26" s="2" t="s">
        <v>138</v>
      </c>
      <c r="J26" s="4" t="s">
        <v>152</v>
      </c>
      <c r="K26" s="4" t="str">
        <f>_xlfn.XLOOKUP($J26,LOCATION!$A$2:$M$2,LOCATION!$A$3:$M$3,"ok",0)</f>
        <v>AUSTRALIA</v>
      </c>
      <c r="L26" s="4" t="str">
        <f>INDEX(LOCATION!$A$1:$M$1,1,MATCH($J26,LOCATION!$A$2:$M$2,0))</f>
        <v>English</v>
      </c>
      <c r="M26" s="4" t="str">
        <f t="shared" si="1"/>
        <v>abshire.tia@xyz.org</v>
      </c>
      <c r="N26" s="35">
        <v>77.8</v>
      </c>
      <c r="O26" s="2" t="s">
        <v>213</v>
      </c>
      <c r="P26" s="2" t="s">
        <v>216</v>
      </c>
      <c r="Q26" s="3" t="str">
        <f>INDEX(SPORT!$A$2:$A$33,MATCH(R26,SPORT!$B$2:$B$33,0))</f>
        <v>OUTDOOR</v>
      </c>
      <c r="R26" s="2" t="s">
        <v>181</v>
      </c>
      <c r="S26" s="37">
        <v>62037</v>
      </c>
    </row>
    <row r="27" spans="1:19" x14ac:dyDescent="0.35">
      <c r="A27" s="33">
        <v>26</v>
      </c>
      <c r="B27" s="3" t="str">
        <f t="shared" si="2"/>
        <v>MS.ISABEL  RUNOLFSDOTTIR</v>
      </c>
      <c r="C27" s="2" t="s">
        <v>6</v>
      </c>
      <c r="D27" s="2" t="s">
        <v>76</v>
      </c>
      <c r="E27" s="2"/>
      <c r="F27" s="2" t="s">
        <v>77</v>
      </c>
      <c r="G27" s="34">
        <v>28570</v>
      </c>
      <c r="H27" s="2" t="s">
        <v>69</v>
      </c>
      <c r="I27" s="2" t="s">
        <v>138</v>
      </c>
      <c r="J27" s="4" t="s">
        <v>152</v>
      </c>
      <c r="K27" s="4" t="str">
        <f>_xlfn.XLOOKUP($J27,LOCATION!$A$2:$M$2,LOCATION!$A$3:$M$3,"ok",0)</f>
        <v>AUSTRALIA</v>
      </c>
      <c r="L27" s="4" t="str">
        <f>INDEX(LOCATION!$A$1:$M$1,1,MATCH($J27,LOCATION!$A$2:$M$2,0))</f>
        <v>English</v>
      </c>
      <c r="M27" s="4" t="str">
        <f t="shared" si="1"/>
        <v>runolfsdottir.isabel@xyz.org</v>
      </c>
      <c r="N27" s="35">
        <v>85.9</v>
      </c>
      <c r="O27" s="2" t="s">
        <v>214</v>
      </c>
      <c r="P27" s="2" t="s">
        <v>219</v>
      </c>
      <c r="Q27" s="3" t="str">
        <f>INDEX(SPORT!$A$2:$A$33,MATCH(R27,SPORT!$B$2:$B$33,0))</f>
        <v>INDOOR</v>
      </c>
      <c r="R27" s="2" t="s">
        <v>174</v>
      </c>
      <c r="S27" s="37">
        <v>89737</v>
      </c>
    </row>
    <row r="28" spans="1:19" x14ac:dyDescent="0.35">
      <c r="A28" s="33">
        <v>27</v>
      </c>
      <c r="B28" s="3" t="str">
        <f t="shared" si="2"/>
        <v>HR.BARNEY  WESACK</v>
      </c>
      <c r="C28" s="2" t="s">
        <v>46</v>
      </c>
      <c r="D28" s="2" t="s">
        <v>78</v>
      </c>
      <c r="E28" s="2"/>
      <c r="F28" s="2" t="s">
        <v>79</v>
      </c>
      <c r="G28" s="34">
        <v>25767</v>
      </c>
      <c r="H28" s="2" t="s">
        <v>17</v>
      </c>
      <c r="I28" s="2" t="s">
        <v>142</v>
      </c>
      <c r="J28" s="4" t="s">
        <v>154</v>
      </c>
      <c r="K28" s="4" t="str">
        <f>_xlfn.XLOOKUP($J28,LOCATION!$A$2:$M$2,LOCATION!$A$3:$M$3,"ok",0)</f>
        <v>AUSTRIA</v>
      </c>
      <c r="L28" s="4" t="str">
        <f>INDEX(LOCATION!$A$1:$M$1,1,MATCH($J28,LOCATION!$A$2:$M$2,0))</f>
        <v>German</v>
      </c>
      <c r="M28" s="4" t="str">
        <f t="shared" si="1"/>
        <v>wesack.barney@xyz.com</v>
      </c>
      <c r="N28" s="35">
        <v>93.4</v>
      </c>
      <c r="O28" s="2" t="s">
        <v>213</v>
      </c>
      <c r="P28" s="2" t="s">
        <v>219</v>
      </c>
      <c r="Q28" s="3" t="str">
        <f>INDEX(SPORT!$A$2:$A$33,MATCH(R28,SPORT!$B$2:$B$33,0))</f>
        <v>INDOOR</v>
      </c>
      <c r="R28" s="2" t="s">
        <v>197</v>
      </c>
      <c r="S28" s="37">
        <v>41039</v>
      </c>
    </row>
    <row r="29" spans="1:19" x14ac:dyDescent="0.35">
      <c r="A29" s="33">
        <v>28</v>
      </c>
      <c r="B29" s="3" t="str">
        <f t="shared" si="2"/>
        <v>HR.BARUCH  KADE</v>
      </c>
      <c r="C29" s="2" t="s">
        <v>46</v>
      </c>
      <c r="D29" s="2" t="s">
        <v>80</v>
      </c>
      <c r="E29" s="2"/>
      <c r="F29" s="2" t="s">
        <v>81</v>
      </c>
      <c r="G29" s="34">
        <v>30020</v>
      </c>
      <c r="H29" s="2" t="s">
        <v>53</v>
      </c>
      <c r="I29" s="2" t="s">
        <v>142</v>
      </c>
      <c r="J29" s="4" t="s">
        <v>154</v>
      </c>
      <c r="K29" s="4" t="str">
        <f>_xlfn.XLOOKUP($J29,LOCATION!$A$2:$M$2,LOCATION!$A$3:$M$3,"ok",0)</f>
        <v>AUSTRIA</v>
      </c>
      <c r="L29" s="4" t="str">
        <f>INDEX(LOCATION!$A$1:$M$1,1,MATCH($J29,LOCATION!$A$2:$M$2,0))</f>
        <v>German</v>
      </c>
      <c r="M29" s="4" t="str">
        <f t="shared" si="1"/>
        <v>kade.baruch@xyz.com</v>
      </c>
      <c r="N29" s="35">
        <v>95.5</v>
      </c>
      <c r="O29" s="2" t="s">
        <v>218</v>
      </c>
      <c r="P29" s="2" t="s">
        <v>212</v>
      </c>
      <c r="Q29" s="3" t="str">
        <f>INDEX(SPORT!$A$2:$A$33,MATCH(R29,SPORT!$B$2:$B$33,0))</f>
        <v>OUTDOOR</v>
      </c>
      <c r="R29" s="2" t="s">
        <v>186</v>
      </c>
      <c r="S29" s="37">
        <v>28458</v>
      </c>
    </row>
    <row r="30" spans="1:19" x14ac:dyDescent="0.35">
      <c r="A30" s="33">
        <v>29</v>
      </c>
      <c r="B30" s="3" t="str">
        <f t="shared" si="2"/>
        <v>PROF.LIESBETH  ROSEMANN</v>
      </c>
      <c r="C30" s="2" t="s">
        <v>50</v>
      </c>
      <c r="D30" s="2" t="s">
        <v>82</v>
      </c>
      <c r="E30" s="2"/>
      <c r="F30" s="2" t="s">
        <v>83</v>
      </c>
      <c r="G30" s="34">
        <v>34361</v>
      </c>
      <c r="H30" s="2" t="s">
        <v>12</v>
      </c>
      <c r="I30" s="2" t="s">
        <v>138</v>
      </c>
      <c r="J30" s="4" t="s">
        <v>154</v>
      </c>
      <c r="K30" s="4" t="str">
        <f>_xlfn.XLOOKUP($J30,LOCATION!$A$2:$M$2,LOCATION!$A$3:$M$3,"ok",0)</f>
        <v>AUSTRIA</v>
      </c>
      <c r="L30" s="4" t="str">
        <f>INDEX(LOCATION!$A$1:$M$1,1,MATCH($J30,LOCATION!$A$2:$M$2,0))</f>
        <v>German</v>
      </c>
      <c r="M30" s="4" t="str">
        <f t="shared" si="1"/>
        <v>rosemann.liesbeth@xyz.com</v>
      </c>
      <c r="N30" s="35">
        <v>52.2</v>
      </c>
      <c r="O30" s="2" t="s">
        <v>214</v>
      </c>
      <c r="P30" s="2" t="s">
        <v>217</v>
      </c>
      <c r="Q30" s="3" t="str">
        <f>INDEX(SPORT!$A$2:$A$33,MATCH(R30,SPORT!$B$2:$B$33,0))</f>
        <v>OUTDOOR</v>
      </c>
      <c r="R30" s="2" t="s">
        <v>181</v>
      </c>
      <c r="S30" s="37">
        <v>55007</v>
      </c>
    </row>
    <row r="31" spans="1:19" x14ac:dyDescent="0.35">
      <c r="A31" s="33">
        <v>30</v>
      </c>
      <c r="B31" s="3" t="str">
        <f t="shared" si="2"/>
        <v>MME.VALENTINE  MOREAU</v>
      </c>
      <c r="C31" s="2" t="s">
        <v>84</v>
      </c>
      <c r="D31" s="2" t="s">
        <v>85</v>
      </c>
      <c r="E31" s="2"/>
      <c r="F31" s="2" t="s">
        <v>86</v>
      </c>
      <c r="G31" s="34">
        <v>29137</v>
      </c>
      <c r="H31" s="2" t="s">
        <v>9</v>
      </c>
      <c r="I31" s="2" t="s">
        <v>138</v>
      </c>
      <c r="J31" s="4" t="s">
        <v>157</v>
      </c>
      <c r="K31" s="4" t="str">
        <f>_xlfn.XLOOKUP($J31,LOCATION!$A$2:$M$2,LOCATION!$A$3:$M$3,"ok",0)</f>
        <v>FRANCE</v>
      </c>
      <c r="L31" s="4" t="str">
        <f>INDEX(LOCATION!$A$1:$M$1,1,MATCH($J31,LOCATION!$A$2:$M$2,0))</f>
        <v>French</v>
      </c>
      <c r="M31" s="4" t="str">
        <f t="shared" si="1"/>
        <v>moreau.valentine@xyz.com</v>
      </c>
      <c r="N31" s="35">
        <v>74.599999999999994</v>
      </c>
      <c r="O31" s="2" t="s">
        <v>214</v>
      </c>
      <c r="P31" s="2" t="s">
        <v>219</v>
      </c>
      <c r="Q31" s="3" t="str">
        <f>INDEX(SPORT!$A$2:$A$33,MATCH(R31,SPORT!$B$2:$B$33,0))</f>
        <v>OUTDOOR</v>
      </c>
      <c r="R31" s="2" t="s">
        <v>198</v>
      </c>
      <c r="S31" s="37">
        <v>69041</v>
      </c>
    </row>
    <row r="32" spans="1:19" x14ac:dyDescent="0.35">
      <c r="A32" s="33">
        <v>31</v>
      </c>
      <c r="B32" s="3" t="str">
        <f t="shared" si="2"/>
        <v>MME.PAULETTE  DURAND</v>
      </c>
      <c r="C32" s="2" t="s">
        <v>84</v>
      </c>
      <c r="D32" s="2" t="s">
        <v>87</v>
      </c>
      <c r="E32" s="2"/>
      <c r="F32" s="2" t="s">
        <v>88</v>
      </c>
      <c r="G32" s="34">
        <v>32867</v>
      </c>
      <c r="H32" s="2" t="s">
        <v>64</v>
      </c>
      <c r="I32" s="2" t="s">
        <v>138</v>
      </c>
      <c r="J32" s="4" t="s">
        <v>157</v>
      </c>
      <c r="K32" s="4" t="str">
        <f>_xlfn.XLOOKUP($J32,LOCATION!$A$2:$M$2,LOCATION!$A$3:$M$3,"ok",0)</f>
        <v>FRANCE</v>
      </c>
      <c r="L32" s="4" t="str">
        <f>INDEX(LOCATION!$A$1:$M$1,1,MATCH($J32,LOCATION!$A$2:$M$2,0))</f>
        <v>French</v>
      </c>
      <c r="M32" s="4" t="str">
        <f t="shared" si="1"/>
        <v>durand.paulette@xyz.com</v>
      </c>
      <c r="N32" s="35">
        <v>81.7</v>
      </c>
      <c r="O32" s="2" t="s">
        <v>213</v>
      </c>
      <c r="P32" s="2" t="s">
        <v>212</v>
      </c>
      <c r="Q32" s="3" t="str">
        <f>INDEX(SPORT!$A$2:$A$33,MATCH(R32,SPORT!$B$2:$B$33,0))</f>
        <v>INDOOR</v>
      </c>
      <c r="R32" s="2" t="s">
        <v>197</v>
      </c>
      <c r="S32" s="37">
        <v>86262</v>
      </c>
    </row>
    <row r="33" spans="1:19" x14ac:dyDescent="0.35">
      <c r="A33" s="33">
        <v>32</v>
      </c>
      <c r="B33" s="3" t="str">
        <f t="shared" si="2"/>
        <v>MME.LAURE-ALIX  CHEVALIER</v>
      </c>
      <c r="C33" s="2" t="s">
        <v>84</v>
      </c>
      <c r="D33" s="2" t="s">
        <v>89</v>
      </c>
      <c r="E33" s="2"/>
      <c r="F33" s="2" t="s">
        <v>90</v>
      </c>
      <c r="G33" s="34">
        <v>25925</v>
      </c>
      <c r="H33" s="2" t="s">
        <v>64</v>
      </c>
      <c r="I33" s="2" t="s">
        <v>138</v>
      </c>
      <c r="J33" s="4" t="s">
        <v>157</v>
      </c>
      <c r="K33" s="4" t="str">
        <f>_xlfn.XLOOKUP($J33,LOCATION!$A$2:$M$2,LOCATION!$A$3:$M$3,"ok",0)</f>
        <v>FRANCE</v>
      </c>
      <c r="L33" s="4" t="str">
        <f>INDEX(LOCATION!$A$1:$M$1,1,MATCH($J33,LOCATION!$A$2:$M$2,0))</f>
        <v>French</v>
      </c>
      <c r="M33" s="4" t="str">
        <f t="shared" si="1"/>
        <v>chevalier.laure-alix@xyz.com</v>
      </c>
      <c r="N33" s="35">
        <v>78.099999999999994</v>
      </c>
      <c r="O33" s="2" t="s">
        <v>214</v>
      </c>
      <c r="P33" s="2" t="s">
        <v>217</v>
      </c>
      <c r="Q33" s="3" t="str">
        <f>INDEX(SPORT!$A$2:$A$33,MATCH(R33,SPORT!$B$2:$B$33,0))</f>
        <v>OUTDOOR</v>
      </c>
      <c r="R33" s="2" t="s">
        <v>195</v>
      </c>
      <c r="S33" s="37">
        <v>19234</v>
      </c>
    </row>
    <row r="34" spans="1:19" x14ac:dyDescent="0.35">
      <c r="A34" s="33">
        <v>33</v>
      </c>
      <c r="B34" s="3" t="str">
        <f t="shared" si="2"/>
        <v>M.CLAUDE  TOUSSAINT</v>
      </c>
      <c r="C34" s="2" t="s">
        <v>91</v>
      </c>
      <c r="D34" s="2" t="s">
        <v>92</v>
      </c>
      <c r="E34" s="2"/>
      <c r="F34" s="2" t="s">
        <v>93</v>
      </c>
      <c r="G34" s="34">
        <v>29529</v>
      </c>
      <c r="H34" s="2" t="s">
        <v>40</v>
      </c>
      <c r="I34" s="2" t="s">
        <v>142</v>
      </c>
      <c r="J34" s="4" t="s">
        <v>157</v>
      </c>
      <c r="K34" s="4" t="str">
        <f>_xlfn.XLOOKUP($J34,LOCATION!$A$2:$M$2,LOCATION!$A$3:$M$3,"ok",0)</f>
        <v>FRANCE</v>
      </c>
      <c r="L34" s="4" t="str">
        <f>INDEX(LOCATION!$A$1:$M$1,1,MATCH($J34,LOCATION!$A$2:$M$2,0))</f>
        <v>French</v>
      </c>
      <c r="M34" s="4" t="str">
        <f t="shared" si="1"/>
        <v>toussaint.claude@xyz.com</v>
      </c>
      <c r="N34" s="35">
        <v>57.1</v>
      </c>
      <c r="O34" s="2" t="s">
        <v>209</v>
      </c>
      <c r="P34" s="2" t="s">
        <v>217</v>
      </c>
      <c r="Q34" s="3" t="str">
        <f>INDEX(SPORT!$A$2:$A$33,MATCH(R34,SPORT!$B$2:$B$33,0))</f>
        <v>INDOOR</v>
      </c>
      <c r="R34" s="2" t="s">
        <v>199</v>
      </c>
      <c r="S34" s="37">
        <v>95123</v>
      </c>
    </row>
    <row r="35" spans="1:19" x14ac:dyDescent="0.35">
      <c r="A35" s="33">
        <v>34</v>
      </c>
      <c r="B35" s="3" t="str">
        <f t="shared" si="2"/>
        <v>M.VICTOR  LENOIR</v>
      </c>
      <c r="C35" s="2" t="s">
        <v>91</v>
      </c>
      <c r="D35" s="2" t="s">
        <v>94</v>
      </c>
      <c r="E35" s="2"/>
      <c r="F35" s="2" t="s">
        <v>95</v>
      </c>
      <c r="G35" s="34">
        <v>29875</v>
      </c>
      <c r="H35" s="2" t="s">
        <v>9</v>
      </c>
      <c r="I35" s="2" t="s">
        <v>142</v>
      </c>
      <c r="J35" s="4" t="s">
        <v>157</v>
      </c>
      <c r="K35" s="4" t="str">
        <f>_xlfn.XLOOKUP($J35,LOCATION!$A$2:$M$2,LOCATION!$A$3:$M$3,"ok",0)</f>
        <v>FRANCE</v>
      </c>
      <c r="L35" s="4" t="str">
        <f>INDEX(LOCATION!$A$1:$M$1,1,MATCH($J35,LOCATION!$A$2:$M$2,0))</f>
        <v>French</v>
      </c>
      <c r="M35" s="4" t="str">
        <f t="shared" si="1"/>
        <v>lenoir.victor@xyz.com</v>
      </c>
      <c r="N35" s="35">
        <v>56</v>
      </c>
      <c r="O35" s="2" t="s">
        <v>214</v>
      </c>
      <c r="P35" s="2" t="s">
        <v>219</v>
      </c>
      <c r="Q35" s="3" t="str">
        <f>INDEX(SPORT!$A$2:$A$33,MATCH(R35,SPORT!$B$2:$B$33,0))</f>
        <v>OUTDOOR</v>
      </c>
      <c r="R35" s="2" t="s">
        <v>193</v>
      </c>
      <c r="S35" s="37">
        <v>62761</v>
      </c>
    </row>
    <row r="36" spans="1:19" x14ac:dyDescent="0.35">
      <c r="A36" s="33">
        <v>35</v>
      </c>
      <c r="B36" s="3" t="str">
        <f t="shared" si="2"/>
        <v>M.ARTHUR  LENOIR</v>
      </c>
      <c r="C36" s="2" t="s">
        <v>91</v>
      </c>
      <c r="D36" s="2" t="s">
        <v>96</v>
      </c>
      <c r="E36" s="2"/>
      <c r="F36" s="2" t="s">
        <v>95</v>
      </c>
      <c r="G36" s="34">
        <v>20300</v>
      </c>
      <c r="H36" s="2" t="s">
        <v>30</v>
      </c>
      <c r="I36" s="2" t="s">
        <v>142</v>
      </c>
      <c r="J36" s="4" t="s">
        <v>157</v>
      </c>
      <c r="K36" s="4" t="str">
        <f>_xlfn.XLOOKUP($J36,LOCATION!$A$2:$M$2,LOCATION!$A$3:$M$3,"ok",0)</f>
        <v>FRANCE</v>
      </c>
      <c r="L36" s="4" t="str">
        <f>INDEX(LOCATION!$A$1:$M$1,1,MATCH($J36,LOCATION!$A$2:$M$2,0))</f>
        <v>French</v>
      </c>
      <c r="M36" s="4" t="str">
        <f t="shared" si="1"/>
        <v>lenoir.arthur@xyz.com</v>
      </c>
      <c r="N36" s="35">
        <v>88.6</v>
      </c>
      <c r="O36" s="2" t="s">
        <v>213</v>
      </c>
      <c r="P36" s="2" t="s">
        <v>217</v>
      </c>
      <c r="Q36" s="3" t="str">
        <f>INDEX(SPORT!$A$2:$A$33,MATCH(R36,SPORT!$B$2:$B$33,0))</f>
        <v>OUTDOOR</v>
      </c>
      <c r="R36" s="2" t="s">
        <v>200</v>
      </c>
      <c r="S36" s="37">
        <v>108431</v>
      </c>
    </row>
    <row r="37" spans="1:19" x14ac:dyDescent="0.35">
      <c r="A37" s="33">
        <v>36</v>
      </c>
      <c r="B37" s="3" t="str">
        <f t="shared" si="2"/>
        <v>M.BENJAMIN  LEBRUN-BRUN</v>
      </c>
      <c r="C37" s="2" t="s">
        <v>91</v>
      </c>
      <c r="D37" s="2" t="s">
        <v>97</v>
      </c>
      <c r="E37" s="2"/>
      <c r="F37" s="2" t="s">
        <v>98</v>
      </c>
      <c r="G37" s="34">
        <v>27428</v>
      </c>
      <c r="H37" s="2" t="s">
        <v>12</v>
      </c>
      <c r="I37" s="2" t="s">
        <v>142</v>
      </c>
      <c r="J37" s="4" t="s">
        <v>157</v>
      </c>
      <c r="K37" s="4" t="str">
        <f>_xlfn.XLOOKUP($J37,LOCATION!$A$2:$M$2,LOCATION!$A$3:$M$3,"ok",0)</f>
        <v>FRANCE</v>
      </c>
      <c r="L37" s="4" t="str">
        <f>INDEX(LOCATION!$A$1:$M$1,1,MATCH($J37,LOCATION!$A$2:$M$2,0))</f>
        <v>French</v>
      </c>
      <c r="M37" s="4" t="str">
        <f t="shared" si="1"/>
        <v>lebrun-brun.benjamin@xyz.com</v>
      </c>
      <c r="N37" s="35">
        <v>78.2</v>
      </c>
      <c r="O37" s="2" t="s">
        <v>211</v>
      </c>
      <c r="P37" s="2" t="s">
        <v>212</v>
      </c>
      <c r="Q37" s="3" t="str">
        <f>INDEX(SPORT!$A$2:$A$33,MATCH(R37,SPORT!$B$2:$B$33,0))</f>
        <v>OUTDOOR</v>
      </c>
      <c r="R37" s="2" t="s">
        <v>193</v>
      </c>
      <c r="S37" s="37">
        <v>66268</v>
      </c>
    </row>
    <row r="38" spans="1:19" x14ac:dyDescent="0.35">
      <c r="A38" s="33">
        <v>37</v>
      </c>
      <c r="B38" s="3" t="str">
        <f t="shared" si="2"/>
        <v>M.ANTOINE  MAILLARD</v>
      </c>
      <c r="C38" s="2" t="s">
        <v>91</v>
      </c>
      <c r="D38" s="2" t="s">
        <v>99</v>
      </c>
      <c r="E38" s="2"/>
      <c r="F38" s="2" t="s">
        <v>100</v>
      </c>
      <c r="G38" s="34">
        <v>31585</v>
      </c>
      <c r="H38" s="2" t="s">
        <v>17</v>
      </c>
      <c r="I38" s="2" t="s">
        <v>142</v>
      </c>
      <c r="J38" s="4" t="s">
        <v>157</v>
      </c>
      <c r="K38" s="4" t="str">
        <f>_xlfn.XLOOKUP($J38,LOCATION!$A$2:$M$2,LOCATION!$A$3:$M$3,"ok",0)</f>
        <v>FRANCE</v>
      </c>
      <c r="L38" s="4" t="str">
        <f>INDEX(LOCATION!$A$1:$M$1,1,MATCH($J38,LOCATION!$A$2:$M$2,0))</f>
        <v>French</v>
      </c>
      <c r="M38" s="4" t="str">
        <f t="shared" si="1"/>
        <v>maillard.antoine@xyz.com</v>
      </c>
      <c r="N38" s="35">
        <v>95.8</v>
      </c>
      <c r="O38" s="2" t="s">
        <v>214</v>
      </c>
      <c r="P38" s="2" t="s">
        <v>215</v>
      </c>
      <c r="Q38" s="3" t="str">
        <f>INDEX(SPORT!$A$2:$A$33,MATCH(R38,SPORT!$B$2:$B$33,0))</f>
        <v>OUTDOOR</v>
      </c>
      <c r="R38" s="2" t="s">
        <v>201</v>
      </c>
      <c r="S38" s="37">
        <v>33970</v>
      </c>
    </row>
    <row r="39" spans="1:19" x14ac:dyDescent="0.35">
      <c r="A39" s="33">
        <v>38</v>
      </c>
      <c r="B39" s="3" t="str">
        <f t="shared" si="2"/>
        <v>M.BERNARD  HOARAU-GUYON</v>
      </c>
      <c r="C39" s="2" t="s">
        <v>91</v>
      </c>
      <c r="D39" s="2" t="s">
        <v>101</v>
      </c>
      <c r="E39" s="2"/>
      <c r="F39" s="2" t="s">
        <v>102</v>
      </c>
      <c r="G39" s="34">
        <v>30327</v>
      </c>
      <c r="H39" s="2" t="s">
        <v>64</v>
      </c>
      <c r="I39" s="2" t="s">
        <v>142</v>
      </c>
      <c r="J39" s="4" t="s">
        <v>157</v>
      </c>
      <c r="K39" s="4" t="str">
        <f>_xlfn.XLOOKUP($J39,LOCATION!$A$2:$M$2,LOCATION!$A$3:$M$3,"ok",0)</f>
        <v>FRANCE</v>
      </c>
      <c r="L39" s="4" t="str">
        <f>INDEX(LOCATION!$A$1:$M$1,1,MATCH($J39,LOCATION!$A$2:$M$2,0))</f>
        <v>French</v>
      </c>
      <c r="M39" s="4" t="str">
        <f t="shared" si="1"/>
        <v>hoarau-guyon.bernard@xyz.com</v>
      </c>
      <c r="N39" s="35">
        <v>59.7</v>
      </c>
      <c r="O39" s="2" t="s">
        <v>218</v>
      </c>
      <c r="P39" s="2" t="s">
        <v>212</v>
      </c>
      <c r="Q39" s="3" t="str">
        <f>INDEX(SPORT!$A$2:$A$33,MATCH(R39,SPORT!$B$2:$B$33,0))</f>
        <v>INDOOR</v>
      </c>
      <c r="R39" s="2" t="s">
        <v>174</v>
      </c>
      <c r="S39" s="37">
        <v>71352</v>
      </c>
    </row>
    <row r="40" spans="1:19" x14ac:dyDescent="0.35">
      <c r="A40" s="33">
        <v>39</v>
      </c>
      <c r="B40" s="3" t="str">
        <f t="shared" si="2"/>
        <v>SR.HIDALGO CANTU TERCERO</v>
      </c>
      <c r="C40" s="2" t="s">
        <v>13</v>
      </c>
      <c r="D40" s="2" t="s">
        <v>103</v>
      </c>
      <c r="E40" s="2" t="s">
        <v>104</v>
      </c>
      <c r="F40" s="2" t="s">
        <v>105</v>
      </c>
      <c r="G40" s="34">
        <v>31016</v>
      </c>
      <c r="H40" s="2" t="s">
        <v>27</v>
      </c>
      <c r="I40" s="2" t="s">
        <v>142</v>
      </c>
      <c r="J40" s="4" t="s">
        <v>160</v>
      </c>
      <c r="K40" s="4" t="str">
        <f>_xlfn.XLOOKUP($J40,LOCATION!$A$2:$M$2,LOCATION!$A$3:$M$3,"ok",0)</f>
        <v>ARGENTINA</v>
      </c>
      <c r="L40" s="4" t="str">
        <f>INDEX(LOCATION!$A$1:$M$1,1,MATCH($J40,LOCATION!$A$2:$M$2,0))</f>
        <v>Spanish</v>
      </c>
      <c r="M40" s="4" t="str">
        <f t="shared" si="1"/>
        <v>tercero.hidalgo@xyz.com</v>
      </c>
      <c r="N40" s="35">
        <v>77.7</v>
      </c>
      <c r="O40" s="2" t="s">
        <v>218</v>
      </c>
      <c r="P40" s="2" t="s">
        <v>215</v>
      </c>
      <c r="Q40" s="3" t="str">
        <f>INDEX(SPORT!$A$2:$A$33,MATCH(R40,SPORT!$B$2:$B$33,0))</f>
        <v>OUTDOOR</v>
      </c>
      <c r="R40" s="2" t="s">
        <v>196</v>
      </c>
      <c r="S40" s="37">
        <v>116376</v>
      </c>
    </row>
    <row r="41" spans="1:19" x14ac:dyDescent="0.35">
      <c r="A41" s="33">
        <v>40</v>
      </c>
      <c r="B41" s="3" t="str">
        <f t="shared" si="2"/>
        <v>SR.HADALGO  POLANCO</v>
      </c>
      <c r="C41" s="2" t="s">
        <v>13</v>
      </c>
      <c r="D41" s="2" t="s">
        <v>106</v>
      </c>
      <c r="E41" s="2"/>
      <c r="F41" s="2" t="s">
        <v>107</v>
      </c>
      <c r="G41" s="34">
        <v>32314</v>
      </c>
      <c r="H41" s="2" t="s">
        <v>108</v>
      </c>
      <c r="I41" s="2" t="s">
        <v>142</v>
      </c>
      <c r="J41" s="4" t="s">
        <v>160</v>
      </c>
      <c r="K41" s="4" t="str">
        <f>_xlfn.XLOOKUP($J41,LOCATION!$A$2:$M$2,LOCATION!$A$3:$M$3,"ok",0)</f>
        <v>ARGENTINA</v>
      </c>
      <c r="L41" s="4" t="str">
        <f>INDEX(LOCATION!$A$1:$M$1,1,MATCH($J41,LOCATION!$A$2:$M$2,0))</f>
        <v>Spanish</v>
      </c>
      <c r="M41" s="4" t="str">
        <f t="shared" si="1"/>
        <v>polanco.hadalgo@xyz.com</v>
      </c>
      <c r="N41" s="35">
        <v>98</v>
      </c>
      <c r="O41" s="2" t="s">
        <v>214</v>
      </c>
      <c r="P41" s="2" t="s">
        <v>210</v>
      </c>
      <c r="Q41" s="3" t="str">
        <f>INDEX(SPORT!$A$2:$A$33,MATCH(R41,SPORT!$B$2:$B$33,0))</f>
        <v>OUTDOOR</v>
      </c>
      <c r="R41" s="2" t="s">
        <v>195</v>
      </c>
      <c r="S41" s="37">
        <v>114144</v>
      </c>
    </row>
    <row r="42" spans="1:19" x14ac:dyDescent="0.35">
      <c r="A42" s="33">
        <v>41</v>
      </c>
      <c r="B42" s="3" t="str">
        <f t="shared" si="2"/>
        <v>SRA.LAURA  OLIVIERA</v>
      </c>
      <c r="C42" s="2" t="s">
        <v>109</v>
      </c>
      <c r="D42" s="2" t="s">
        <v>110</v>
      </c>
      <c r="E42" s="2"/>
      <c r="F42" s="2" t="s">
        <v>111</v>
      </c>
      <c r="G42" s="34">
        <v>27076</v>
      </c>
      <c r="H42" s="2" t="s">
        <v>12</v>
      </c>
      <c r="I42" s="2" t="s">
        <v>138</v>
      </c>
      <c r="J42" s="4" t="s">
        <v>160</v>
      </c>
      <c r="K42" s="4" t="str">
        <f>_xlfn.XLOOKUP($J42,LOCATION!$A$2:$M$2,LOCATION!$A$3:$M$3,"ok",0)</f>
        <v>ARGENTINA</v>
      </c>
      <c r="L42" s="4" t="str">
        <f>INDEX(LOCATION!$A$1:$M$1,1,MATCH($J42,LOCATION!$A$2:$M$2,0))</f>
        <v>Spanish</v>
      </c>
      <c r="M42" s="4" t="str">
        <f t="shared" si="1"/>
        <v>oliviera.laura@xyz.com</v>
      </c>
      <c r="N42" s="35">
        <v>51.9</v>
      </c>
      <c r="O42" s="2" t="s">
        <v>213</v>
      </c>
      <c r="P42" s="2" t="s">
        <v>212</v>
      </c>
      <c r="Q42" s="3" t="str">
        <f>INDEX(SPORT!$A$2:$A$33,MATCH(R42,SPORT!$B$2:$B$33,0))</f>
        <v>OUTDOOR</v>
      </c>
      <c r="R42" s="2" t="s">
        <v>202</v>
      </c>
      <c r="S42" s="37">
        <v>79872</v>
      </c>
    </row>
    <row r="43" spans="1:19" x14ac:dyDescent="0.35">
      <c r="A43" s="33">
        <v>42</v>
      </c>
      <c r="B43" s="3" t="str">
        <f t="shared" si="2"/>
        <v>SRA.AINHOA  GARZA</v>
      </c>
      <c r="C43" s="2" t="s">
        <v>109</v>
      </c>
      <c r="D43" s="2" t="s">
        <v>112</v>
      </c>
      <c r="E43" s="2"/>
      <c r="F43" s="2" t="s">
        <v>113</v>
      </c>
      <c r="G43" s="34">
        <v>32941</v>
      </c>
      <c r="H43" s="2" t="s">
        <v>53</v>
      </c>
      <c r="I43" s="2" t="s">
        <v>138</v>
      </c>
      <c r="J43" s="4" t="s">
        <v>162</v>
      </c>
      <c r="K43" s="4" t="str">
        <f>_xlfn.XLOOKUP($J43,LOCATION!$A$2:$M$2,LOCATION!$A$3:$M$3,"ok",0)</f>
        <v>SPAIN</v>
      </c>
      <c r="L43" s="4" t="str">
        <f>INDEX(LOCATION!$A$1:$M$1,1,MATCH($J43,LOCATION!$A$2:$M$2,0))</f>
        <v>Spanish</v>
      </c>
      <c r="M43" s="4" t="str">
        <f t="shared" si="1"/>
        <v>garza.ainhoa@xyz.com</v>
      </c>
      <c r="N43" s="35">
        <v>55.6</v>
      </c>
      <c r="O43" s="2" t="s">
        <v>211</v>
      </c>
      <c r="P43" s="2" t="s">
        <v>217</v>
      </c>
      <c r="Q43" s="3" t="str">
        <f>INDEX(SPORT!$A$2:$A$33,MATCH(R43,SPORT!$B$2:$B$33,0))</f>
        <v>INDOOR</v>
      </c>
      <c r="R43" s="2" t="s">
        <v>203</v>
      </c>
      <c r="S43" s="37">
        <v>101969</v>
      </c>
    </row>
    <row r="44" spans="1:19" x14ac:dyDescent="0.35">
      <c r="A44" s="33">
        <v>43</v>
      </c>
      <c r="B44" s="3" t="str">
        <f t="shared" si="2"/>
        <v>SRA.ISABEL  BANDA</v>
      </c>
      <c r="C44" s="2" t="s">
        <v>109</v>
      </c>
      <c r="D44" s="2" t="s">
        <v>76</v>
      </c>
      <c r="E44" s="2"/>
      <c r="F44" s="2" t="s">
        <v>114</v>
      </c>
      <c r="G44" s="34">
        <v>21927</v>
      </c>
      <c r="H44" s="2" t="s">
        <v>64</v>
      </c>
      <c r="I44" s="2" t="s">
        <v>138</v>
      </c>
      <c r="J44" s="4" t="s">
        <v>162</v>
      </c>
      <c r="K44" s="4" t="str">
        <f>_xlfn.XLOOKUP($J44,LOCATION!$A$2:$M$2,LOCATION!$A$3:$M$3,"ok",0)</f>
        <v>SPAIN</v>
      </c>
      <c r="L44" s="4" t="str">
        <f>INDEX(LOCATION!$A$1:$M$1,1,MATCH($J44,LOCATION!$A$2:$M$2,0))</f>
        <v>Spanish</v>
      </c>
      <c r="M44" s="4" t="str">
        <f t="shared" si="1"/>
        <v>banda.isabel@xyz.com</v>
      </c>
      <c r="N44" s="35">
        <v>102.3</v>
      </c>
      <c r="O44" s="2" t="s">
        <v>213</v>
      </c>
      <c r="P44" s="2" t="s">
        <v>217</v>
      </c>
      <c r="Q44" s="3" t="str">
        <f>INDEX(SPORT!$A$2:$A$33,MATCH(R44,SPORT!$B$2:$B$33,0))</f>
        <v>OUTDOOR</v>
      </c>
      <c r="R44" s="2" t="s">
        <v>196</v>
      </c>
      <c r="S44" s="37">
        <v>50659</v>
      </c>
    </row>
    <row r="45" spans="1:19" x14ac:dyDescent="0.35">
      <c r="A45" s="33">
        <v>44</v>
      </c>
      <c r="B45" s="3" t="str">
        <f t="shared" si="2"/>
        <v>SRA.CAROLOTA  MATEOS</v>
      </c>
      <c r="C45" s="2" t="s">
        <v>109</v>
      </c>
      <c r="D45" s="2" t="s">
        <v>115</v>
      </c>
      <c r="E45" s="2"/>
      <c r="F45" s="2" t="s">
        <v>116</v>
      </c>
      <c r="G45" s="34">
        <v>23952</v>
      </c>
      <c r="H45" s="2" t="s">
        <v>30</v>
      </c>
      <c r="I45" s="2" t="s">
        <v>138</v>
      </c>
      <c r="J45" s="4" t="s">
        <v>162</v>
      </c>
      <c r="K45" s="4" t="str">
        <f>_xlfn.XLOOKUP($J45,LOCATION!$A$2:$M$2,LOCATION!$A$3:$M$3,"ok",0)</f>
        <v>SPAIN</v>
      </c>
      <c r="L45" s="4" t="str">
        <f>INDEX(LOCATION!$A$1:$M$1,1,MATCH($J45,LOCATION!$A$2:$M$2,0))</f>
        <v>Spanish</v>
      </c>
      <c r="M45" s="4" t="str">
        <f t="shared" si="1"/>
        <v>mateos.carolota@xyz.com</v>
      </c>
      <c r="N45" s="35">
        <v>58.8</v>
      </c>
      <c r="O45" s="2" t="s">
        <v>218</v>
      </c>
      <c r="P45" s="2" t="s">
        <v>212</v>
      </c>
      <c r="Q45" s="3" t="str">
        <f>INDEX(SPORT!$A$2:$A$33,MATCH(R45,SPORT!$B$2:$B$33,0))</f>
        <v>OUTDOOR</v>
      </c>
      <c r="R45" s="2" t="s">
        <v>202</v>
      </c>
      <c r="S45" s="37">
        <v>58215</v>
      </c>
    </row>
    <row r="46" spans="1:19" x14ac:dyDescent="0.35">
      <c r="A46" s="33">
        <v>45</v>
      </c>
      <c r="B46" s="3" t="str">
        <f t="shared" si="2"/>
        <v>MW.ELIZE  PRINS</v>
      </c>
      <c r="C46" s="2" t="s">
        <v>117</v>
      </c>
      <c r="D46" s="2" t="s">
        <v>118</v>
      </c>
      <c r="E46" s="2"/>
      <c r="F46" s="2" t="s">
        <v>119</v>
      </c>
      <c r="G46" s="34">
        <v>22044</v>
      </c>
      <c r="H46" s="2" t="s">
        <v>20</v>
      </c>
      <c r="I46" s="2" t="s">
        <v>138</v>
      </c>
      <c r="J46" s="4" t="s">
        <v>165</v>
      </c>
      <c r="K46" s="4" t="str">
        <f>_xlfn.XLOOKUP($J46,LOCATION!$A$2:$M$2,LOCATION!$A$3:$M$3,"ok",0)</f>
        <v>NETHERLANDS</v>
      </c>
      <c r="L46" s="4" t="str">
        <f>INDEX(LOCATION!$A$1:$M$1,1,MATCH($J46,LOCATION!$A$2:$M$2,0))</f>
        <v>Dutch</v>
      </c>
      <c r="M46" s="4" t="str">
        <f t="shared" si="1"/>
        <v>prins.elize@xyz.com</v>
      </c>
      <c r="N46" s="35">
        <v>63.8</v>
      </c>
      <c r="O46" s="2" t="s">
        <v>214</v>
      </c>
      <c r="P46" s="2" t="s">
        <v>217</v>
      </c>
      <c r="Q46" s="3" t="str">
        <f>INDEX(SPORT!$A$2:$A$33,MATCH(R46,SPORT!$B$2:$B$33,0))</f>
        <v>INDOOR</v>
      </c>
      <c r="R46" s="2" t="s">
        <v>204</v>
      </c>
      <c r="S46" s="37">
        <v>39935</v>
      </c>
    </row>
    <row r="47" spans="1:19" x14ac:dyDescent="0.35">
      <c r="A47" s="33">
        <v>46</v>
      </c>
      <c r="B47" s="3" t="str">
        <f t="shared" si="2"/>
        <v>DHR.RYAN  PHAM</v>
      </c>
      <c r="C47" s="2" t="s">
        <v>120</v>
      </c>
      <c r="D47" s="2" t="s">
        <v>121</v>
      </c>
      <c r="E47" s="2"/>
      <c r="F47" s="2" t="s">
        <v>122</v>
      </c>
      <c r="G47" s="34">
        <v>26940</v>
      </c>
      <c r="H47" s="2" t="s">
        <v>9</v>
      </c>
      <c r="I47" s="2" t="s">
        <v>142</v>
      </c>
      <c r="J47" s="4" t="s">
        <v>165</v>
      </c>
      <c r="K47" s="4" t="str">
        <f>_xlfn.XLOOKUP($J47,LOCATION!$A$2:$M$2,LOCATION!$A$3:$M$3,"ok",0)</f>
        <v>NETHERLANDS</v>
      </c>
      <c r="L47" s="4" t="str">
        <f>INDEX(LOCATION!$A$1:$M$1,1,MATCH($J47,LOCATION!$A$2:$M$2,0))</f>
        <v>Dutch</v>
      </c>
      <c r="M47" s="4" t="str">
        <f t="shared" si="1"/>
        <v>pham.ryan@xyz.com</v>
      </c>
      <c r="N47" s="35">
        <v>98.6</v>
      </c>
      <c r="O47" s="2" t="s">
        <v>213</v>
      </c>
      <c r="P47" s="2" t="s">
        <v>219</v>
      </c>
      <c r="Q47" s="3" t="str">
        <f>INDEX(SPORT!$A$2:$A$33,MATCH(R47,SPORT!$B$2:$B$33,0))</f>
        <v>OUTDOOR</v>
      </c>
      <c r="R47" s="2" t="s">
        <v>195</v>
      </c>
      <c r="S47" s="37">
        <v>44865</v>
      </c>
    </row>
    <row r="48" spans="1:19" x14ac:dyDescent="0.35">
      <c r="A48" s="33">
        <v>47</v>
      </c>
      <c r="B48" s="3" t="str">
        <f t="shared" si="2"/>
        <v>MWELISE  ROTTEVEEL</v>
      </c>
      <c r="C48" s="2" t="s">
        <v>123</v>
      </c>
      <c r="D48" s="2" t="s">
        <v>124</v>
      </c>
      <c r="E48" s="2"/>
      <c r="F48" s="2" t="s">
        <v>125</v>
      </c>
      <c r="G48" s="34">
        <v>24936</v>
      </c>
      <c r="H48" s="2" t="s">
        <v>69</v>
      </c>
      <c r="I48" s="2" t="s">
        <v>138</v>
      </c>
      <c r="J48" s="4" t="s">
        <v>165</v>
      </c>
      <c r="K48" s="4" t="str">
        <f>_xlfn.XLOOKUP($J48,LOCATION!$A$2:$M$2,LOCATION!$A$3:$M$3,"ok",0)</f>
        <v>NETHERLANDS</v>
      </c>
      <c r="L48" s="4" t="str">
        <f>INDEX(LOCATION!$A$1:$M$1,1,MATCH($J48,LOCATION!$A$2:$M$2,0))</f>
        <v>Dutch</v>
      </c>
      <c r="M48" s="4" t="str">
        <f t="shared" si="1"/>
        <v>rotteveel.elise@xyz.com</v>
      </c>
      <c r="N48" s="35">
        <v>61.8</v>
      </c>
      <c r="O48" s="2" t="s">
        <v>218</v>
      </c>
      <c r="P48" s="2" t="s">
        <v>212</v>
      </c>
      <c r="Q48" s="3" t="str">
        <f>INDEX(SPORT!$A$2:$A$33,MATCH(R48,SPORT!$B$2:$B$33,0))</f>
        <v>OUTDOOR</v>
      </c>
      <c r="R48" s="2" t="s">
        <v>195</v>
      </c>
      <c r="S48" s="37">
        <v>90478</v>
      </c>
    </row>
    <row r="49" spans="1:19" x14ac:dyDescent="0.35">
      <c r="A49" s="33">
        <v>48</v>
      </c>
      <c r="B49" s="3" t="str">
        <f t="shared" si="2"/>
        <v>FRU.MIRJAM  SODERBERG</v>
      </c>
      <c r="C49" s="2" t="s">
        <v>126</v>
      </c>
      <c r="D49" s="2" t="s">
        <v>127</v>
      </c>
      <c r="E49" s="2"/>
      <c r="F49" s="2" t="s">
        <v>128</v>
      </c>
      <c r="G49" s="34">
        <v>35567</v>
      </c>
      <c r="H49" s="2" t="s">
        <v>20</v>
      </c>
      <c r="I49" s="2" t="s">
        <v>138</v>
      </c>
      <c r="J49" s="4" t="s">
        <v>168</v>
      </c>
      <c r="K49" s="4" t="str">
        <f>_xlfn.XLOOKUP($J49,LOCATION!$A$2:$M$2,LOCATION!$A$3:$M$3,"ok",0)</f>
        <v>SWEDEN</v>
      </c>
      <c r="L49" s="4" t="str">
        <f>INDEX(LOCATION!$A$1:$M$1,1,MATCH($J49,LOCATION!$A$2:$M$2,0))</f>
        <v>Swedish</v>
      </c>
      <c r="M49" s="4" t="str">
        <f t="shared" si="1"/>
        <v>soderberg.mirjam@xyz.com</v>
      </c>
      <c r="N49" s="35">
        <v>50</v>
      </c>
      <c r="O49" s="2" t="s">
        <v>213</v>
      </c>
      <c r="P49" s="2" t="s">
        <v>217</v>
      </c>
      <c r="Q49" s="3" t="str">
        <f>INDEX(SPORT!$A$2:$A$33,MATCH(R49,SPORT!$B$2:$B$33,0))</f>
        <v>OUTDOOR</v>
      </c>
      <c r="R49" s="2" t="s">
        <v>177</v>
      </c>
      <c r="S49" s="37">
        <v>38965</v>
      </c>
    </row>
    <row r="50" spans="1:19" x14ac:dyDescent="0.35">
      <c r="A50" s="33">
        <v>49</v>
      </c>
      <c r="B50" s="3" t="str">
        <f t="shared" si="2"/>
        <v>H.BERNDT  PALSSON</v>
      </c>
      <c r="C50" s="2" t="s">
        <v>129</v>
      </c>
      <c r="D50" s="2" t="s">
        <v>130</v>
      </c>
      <c r="E50" s="2"/>
      <c r="F50" s="2" t="s">
        <v>131</v>
      </c>
      <c r="G50" s="34">
        <v>31832</v>
      </c>
      <c r="H50" s="2" t="s">
        <v>53</v>
      </c>
      <c r="I50" s="2" t="s">
        <v>142</v>
      </c>
      <c r="J50" s="4" t="s">
        <v>168</v>
      </c>
      <c r="K50" s="4" t="str">
        <f>_xlfn.XLOOKUP($J50,LOCATION!$A$2:$M$2,LOCATION!$A$3:$M$3,"ok",0)</f>
        <v>SWEDEN</v>
      </c>
      <c r="L50" s="4" t="str">
        <f>INDEX(LOCATION!$A$1:$M$1,1,MATCH($J50,LOCATION!$A$2:$M$2,0))</f>
        <v>Swedish</v>
      </c>
      <c r="M50" s="4" t="str">
        <f t="shared" si="1"/>
        <v>palsson.berndt@xyz.com</v>
      </c>
      <c r="N50" s="35">
        <v>45.9</v>
      </c>
      <c r="O50" s="2" t="s">
        <v>214</v>
      </c>
      <c r="P50" s="2" t="s">
        <v>210</v>
      </c>
      <c r="Q50" s="3" t="str">
        <f>INDEX(SPORT!$A$2:$A$33,MATCH(R50,SPORT!$B$2:$B$33,0))</f>
        <v>OUTDOOR</v>
      </c>
      <c r="R50" s="2" t="s">
        <v>205</v>
      </c>
      <c r="S50" s="37">
        <v>35387</v>
      </c>
    </row>
    <row r="51" spans="1:19" x14ac:dyDescent="0.35">
      <c r="A51" s="33">
        <v>50</v>
      </c>
      <c r="B51" s="3" t="str">
        <f t="shared" si="2"/>
        <v>SR.ADRIANO PONTES SOBRINHO</v>
      </c>
      <c r="C51" s="2" t="s">
        <v>13</v>
      </c>
      <c r="D51" s="2" t="s">
        <v>132</v>
      </c>
      <c r="E51" s="2" t="s">
        <v>133</v>
      </c>
      <c r="F51" s="2" t="s">
        <v>134</v>
      </c>
      <c r="G51" s="34">
        <v>34178</v>
      </c>
      <c r="H51" s="2" t="s">
        <v>30</v>
      </c>
      <c r="I51" s="2" t="s">
        <v>142</v>
      </c>
      <c r="J51" s="4" t="s">
        <v>169</v>
      </c>
      <c r="K51" s="4" t="str">
        <f>_xlfn.XLOOKUP($J51,LOCATION!$A$2:$M$2,LOCATION!$A$3:$M$3,"ok",0)</f>
        <v>BRAZIL</v>
      </c>
      <c r="L51" s="4" t="str">
        <f>INDEX(LOCATION!$A$1:$M$1,1,MATCH($J51,LOCATION!$A$2:$M$2,0))</f>
        <v>Portuguese</v>
      </c>
      <c r="M51" s="4" t="str">
        <f t="shared" si="1"/>
        <v>sobrinho.adriano@xyz.com</v>
      </c>
      <c r="N51" s="35">
        <v>92.5</v>
      </c>
      <c r="O51" s="2" t="s">
        <v>209</v>
      </c>
      <c r="P51" s="2" t="s">
        <v>216</v>
      </c>
      <c r="Q51" s="3" t="str">
        <f>INDEX(SPORT!$A$2:$A$33,MATCH(R51,SPORT!$B$2:$B$33,0))</f>
        <v>INDOOR</v>
      </c>
      <c r="R51" s="2" t="s">
        <v>206</v>
      </c>
      <c r="S51" s="37">
        <v>20532</v>
      </c>
    </row>
  </sheetData>
  <autoFilter ref="A1:S51" xr:uid="{4AC01092-26DE-45B2-92EB-F750E975484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B4" sqref="B4"/>
    </sheetView>
  </sheetViews>
  <sheetFormatPr defaultRowHeight="14.5" x14ac:dyDescent="0.35"/>
  <cols>
    <col min="1" max="1" width="15.54296875" bestFit="1" customWidth="1"/>
    <col min="2" max="2" width="24" bestFit="1" customWidth="1"/>
  </cols>
  <sheetData>
    <row r="1" spans="1:2" x14ac:dyDescent="0.35">
      <c r="A1" s="30" t="s">
        <v>171</v>
      </c>
      <c r="B1" s="30" t="s">
        <v>172</v>
      </c>
    </row>
    <row r="2" spans="1:2" x14ac:dyDescent="0.35">
      <c r="A2" s="31" t="s">
        <v>173</v>
      </c>
      <c r="B2" s="31" t="s">
        <v>174</v>
      </c>
    </row>
    <row r="3" spans="1:2" x14ac:dyDescent="0.35">
      <c r="A3" s="32" t="s">
        <v>173</v>
      </c>
      <c r="B3" s="32" t="s">
        <v>175</v>
      </c>
    </row>
    <row r="4" spans="1:2" x14ac:dyDescent="0.35">
      <c r="A4" s="32" t="s">
        <v>176</v>
      </c>
      <c r="B4" s="32" t="s">
        <v>177</v>
      </c>
    </row>
    <row r="5" spans="1:2" x14ac:dyDescent="0.35">
      <c r="A5" s="32" t="s">
        <v>176</v>
      </c>
      <c r="B5" s="32" t="s">
        <v>178</v>
      </c>
    </row>
    <row r="6" spans="1:2" x14ac:dyDescent="0.35">
      <c r="A6" s="32" t="s">
        <v>173</v>
      </c>
      <c r="B6" s="32" t="s">
        <v>179</v>
      </c>
    </row>
    <row r="7" spans="1:2" x14ac:dyDescent="0.35">
      <c r="A7" s="32" t="s">
        <v>173</v>
      </c>
      <c r="B7" s="32" t="s">
        <v>180</v>
      </c>
    </row>
    <row r="8" spans="1:2" x14ac:dyDescent="0.35">
      <c r="A8" s="32" t="s">
        <v>176</v>
      </c>
      <c r="B8" s="32" t="s">
        <v>181</v>
      </c>
    </row>
    <row r="9" spans="1:2" x14ac:dyDescent="0.35">
      <c r="A9" s="32" t="s">
        <v>173</v>
      </c>
      <c r="B9" s="32" t="s">
        <v>182</v>
      </c>
    </row>
    <row r="10" spans="1:2" x14ac:dyDescent="0.35">
      <c r="A10" s="32" t="s">
        <v>173</v>
      </c>
      <c r="B10" s="32" t="s">
        <v>183</v>
      </c>
    </row>
    <row r="11" spans="1:2" x14ac:dyDescent="0.35">
      <c r="A11" s="32" t="s">
        <v>176</v>
      </c>
      <c r="B11" s="32" t="s">
        <v>184</v>
      </c>
    </row>
    <row r="12" spans="1:2" x14ac:dyDescent="0.35">
      <c r="A12" s="32" t="s">
        <v>176</v>
      </c>
      <c r="B12" s="32" t="s">
        <v>185</v>
      </c>
    </row>
    <row r="13" spans="1:2" x14ac:dyDescent="0.35">
      <c r="A13" s="32" t="s">
        <v>176</v>
      </c>
      <c r="B13" s="32" t="s">
        <v>186</v>
      </c>
    </row>
    <row r="14" spans="1:2" x14ac:dyDescent="0.35">
      <c r="A14" s="32" t="s">
        <v>176</v>
      </c>
      <c r="B14" s="32" t="s">
        <v>187</v>
      </c>
    </row>
    <row r="15" spans="1:2" x14ac:dyDescent="0.35">
      <c r="A15" s="32" t="s">
        <v>173</v>
      </c>
      <c r="B15" s="32" t="s">
        <v>188</v>
      </c>
    </row>
    <row r="16" spans="1:2" x14ac:dyDescent="0.35">
      <c r="A16" s="32" t="s">
        <v>173</v>
      </c>
      <c r="B16" s="32" t="s">
        <v>189</v>
      </c>
    </row>
    <row r="17" spans="1:2" x14ac:dyDescent="0.35">
      <c r="A17" s="32" t="s">
        <v>176</v>
      </c>
      <c r="B17" s="32" t="s">
        <v>190</v>
      </c>
    </row>
    <row r="18" spans="1:2" x14ac:dyDescent="0.35">
      <c r="A18" s="32" t="s">
        <v>173</v>
      </c>
      <c r="B18" s="32" t="s">
        <v>191</v>
      </c>
    </row>
    <row r="19" spans="1:2" x14ac:dyDescent="0.35">
      <c r="A19" s="32" t="s">
        <v>173</v>
      </c>
      <c r="B19" s="32" t="s">
        <v>192</v>
      </c>
    </row>
    <row r="20" spans="1:2" x14ac:dyDescent="0.35">
      <c r="A20" s="32" t="s">
        <v>176</v>
      </c>
      <c r="B20" s="32" t="s">
        <v>193</v>
      </c>
    </row>
    <row r="21" spans="1:2" x14ac:dyDescent="0.35">
      <c r="A21" s="32" t="s">
        <v>176</v>
      </c>
      <c r="B21" s="32" t="s">
        <v>194</v>
      </c>
    </row>
    <row r="22" spans="1:2" x14ac:dyDescent="0.35">
      <c r="A22" s="32" t="s">
        <v>176</v>
      </c>
      <c r="B22" s="32" t="s">
        <v>195</v>
      </c>
    </row>
    <row r="23" spans="1:2" x14ac:dyDescent="0.35">
      <c r="A23" s="32" t="s">
        <v>176</v>
      </c>
      <c r="B23" s="32" t="s">
        <v>196</v>
      </c>
    </row>
    <row r="24" spans="1:2" x14ac:dyDescent="0.35">
      <c r="A24" s="32" t="s">
        <v>173</v>
      </c>
      <c r="B24" s="32" t="s">
        <v>197</v>
      </c>
    </row>
    <row r="25" spans="1:2" x14ac:dyDescent="0.35">
      <c r="A25" s="32" t="s">
        <v>176</v>
      </c>
      <c r="B25" s="32" t="s">
        <v>198</v>
      </c>
    </row>
    <row r="26" spans="1:2" x14ac:dyDescent="0.35">
      <c r="A26" s="32" t="s">
        <v>173</v>
      </c>
      <c r="B26" s="32" t="s">
        <v>199</v>
      </c>
    </row>
    <row r="27" spans="1:2" x14ac:dyDescent="0.35">
      <c r="A27" s="32" t="s">
        <v>176</v>
      </c>
      <c r="B27" s="32" t="s">
        <v>200</v>
      </c>
    </row>
    <row r="28" spans="1:2" x14ac:dyDescent="0.35">
      <c r="A28" s="32" t="s">
        <v>176</v>
      </c>
      <c r="B28" s="32" t="s">
        <v>201</v>
      </c>
    </row>
    <row r="29" spans="1:2" x14ac:dyDescent="0.35">
      <c r="A29" s="32" t="s">
        <v>176</v>
      </c>
      <c r="B29" s="32" t="s">
        <v>202</v>
      </c>
    </row>
    <row r="30" spans="1:2" x14ac:dyDescent="0.35">
      <c r="A30" s="32" t="s">
        <v>173</v>
      </c>
      <c r="B30" s="32" t="s">
        <v>203</v>
      </c>
    </row>
    <row r="31" spans="1:2" x14ac:dyDescent="0.35">
      <c r="A31" s="32" t="s">
        <v>173</v>
      </c>
      <c r="B31" s="32" t="s">
        <v>204</v>
      </c>
    </row>
    <row r="32" spans="1:2" x14ac:dyDescent="0.35">
      <c r="A32" s="32" t="s">
        <v>176</v>
      </c>
      <c r="B32" s="32" t="s">
        <v>205</v>
      </c>
    </row>
    <row r="33" spans="1:2" x14ac:dyDescent="0.35">
      <c r="A33" s="32" t="s">
        <v>173</v>
      </c>
      <c r="B33" s="32"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J12" sqref="J12"/>
    </sheetView>
  </sheetViews>
  <sheetFormatPr defaultRowHeight="14.5" x14ac:dyDescent="0.35"/>
  <cols>
    <col min="1" max="13" width="13.7265625" style="1" customWidth="1"/>
  </cols>
  <sheetData>
    <row r="1" spans="1:13" x14ac:dyDescent="0.35">
      <c r="A1" s="5"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35">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5">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Mohd Haris</cp:lastModifiedBy>
  <dcterms:created xsi:type="dcterms:W3CDTF">2019-05-28T07:07:38Z</dcterms:created>
  <dcterms:modified xsi:type="dcterms:W3CDTF">2026-07-08T11:42:20Z</dcterms:modified>
</cp:coreProperties>
</file>